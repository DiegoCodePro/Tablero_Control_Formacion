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Formación\Innovación\Proyectos\Tablero de control\"/>
    </mc:Choice>
  </mc:AlternateContent>
  <xr:revisionPtr revIDLastSave="0" documentId="13_ncr:1_{F22C601B-4DD8-4173-A8CA-9DF63330BC5B}" xr6:coauthVersionLast="47" xr6:coauthVersionMax="47" xr10:uidLastSave="{00000000-0000-0000-0000-000000000000}"/>
  <bookViews>
    <workbookView xWindow="-120" yWindow="-120" windowWidth="20730" windowHeight="11040" tabRatio="736" xr2:uid="{937C6B1A-F6BF-4BC2-A9ED-700DD94C722F}"/>
  </bookViews>
  <sheets>
    <sheet name="Plan de acción 2026" sheetId="2" r:id="rId1"/>
    <sheet name="Listas_R.T.I" sheetId="17" state="hidden" r:id="rId2"/>
    <sheet name="Parámetros " sheetId="4" state="hidden" r:id="rId3"/>
    <sheet name="Metas Incremento " sheetId="14" state="hidden" r:id="rId4"/>
    <sheet name="Metas Recuperacion " sheetId="15" state="hidden" r:id="rId5"/>
    <sheet name="Metas Directa" sheetId="19" state="hidden" r:id="rId6"/>
    <sheet name="Listas" sheetId="6" state="hidden" r:id="rId7"/>
    <sheet name="Definiciones" sheetId="11" state="hidden" r:id="rId8"/>
    <sheet name="PARAMETROS" sheetId="8" state="hidden" r:id="rId9"/>
  </sheets>
  <definedNames>
    <definedName name="_xlnm._FilterDatabase" localSheetId="2" hidden="1">'Parámetros '!$A$1:$E$68</definedName>
    <definedName name="_xlnm._FilterDatabase" localSheetId="0" hidden="1">'Plan de acción 2026'!$B$2:$O$373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4" l="1"/>
  <c r="E3" i="14"/>
  <c r="F3" i="14"/>
  <c r="C3" i="14"/>
  <c r="G6" i="15" l="1"/>
  <c r="G5" i="15"/>
  <c r="G4" i="15"/>
  <c r="G3" i="15"/>
  <c r="G2" i="15"/>
  <c r="O15" i="14"/>
  <c r="G15" i="14"/>
  <c r="U14" i="14"/>
  <c r="O14" i="14"/>
  <c r="G14" i="14"/>
  <c r="O13" i="14"/>
  <c r="G13" i="14"/>
  <c r="O12" i="14"/>
  <c r="G12" i="14"/>
  <c r="O11" i="14"/>
  <c r="G11" i="14"/>
  <c r="O9" i="14"/>
  <c r="G9" i="14"/>
  <c r="O7" i="14"/>
  <c r="O6" i="14"/>
  <c r="G6" i="14"/>
  <c r="O4" i="14"/>
  <c r="G4" i="14"/>
  <c r="O3" i="14"/>
  <c r="G3" i="14" l="1"/>
  <c r="G7" i="14"/>
</calcChain>
</file>

<file path=xl/sharedStrings.xml><?xml version="1.0" encoding="utf-8"?>
<sst xmlns="http://schemas.openxmlformats.org/spreadsheetml/2006/main" count="550" uniqueCount="428">
  <si>
    <t>PROCESO</t>
  </si>
  <si>
    <t>OBJETIVO ESTRATÉGICO</t>
  </si>
  <si>
    <t>NOMBRE DE LA ACTIVIDAD</t>
  </si>
  <si>
    <t>META</t>
  </si>
  <si>
    <t>UNIDADES DE LA META</t>
  </si>
  <si>
    <t>Formación</t>
  </si>
  <si>
    <t>OE2 - Formar y acompañar a los docentes del país para aumentar sus competencias en el uso práctico de las TIC</t>
  </si>
  <si>
    <t>Innovación y mejora continua</t>
  </si>
  <si>
    <t>Fortalecer la cultura de la innovación</t>
  </si>
  <si>
    <t>Mesas tecnicas de innovación</t>
  </si>
  <si>
    <t>Talleres, charlas o encuentros u otros</t>
  </si>
  <si>
    <t>Fortalecer la formación y acompañamiento al docente en la apropiación de las tecnologías digitales para la innovación en las prácticas educativas</t>
  </si>
  <si>
    <t>3.1 Redefinir e implementar la estrategia orientada al fortalecimiento de las competencias requeridas por los docentes en servicio para la innovación educativa; el nuevo modelo de la oferta de formación deberá abordarse desde un enfoque: (i) territorial pertinente para los contextos rurales, (ii) escalonado de acuerdo con los niveles de formación inicial de los docentes (iii) pertinente con las diferentes áreas de conocimiento, (iv) de formación orientado a la innovación de las prácticas educativas para la generación de competencias del siglo XXI en los estudiantes,(v) flexible para que cada docente pueda diseñar su propio itinerario de formación. (Línea de acción 1).</t>
  </si>
  <si>
    <t>Docentes</t>
  </si>
  <si>
    <t>Centros de interes</t>
  </si>
  <si>
    <t>Dotar con terminales, soluciones tecnológicas, contenidos digitales, software y hardware a las sedes educativas de preescolar, educación básica y media, pertinentes al contexto educativo y territorial</t>
  </si>
  <si>
    <t>1.9 Desarrollar e implementar una hoja de ruta del procedimiento para la actualización, mejoras y difusión de contenidos educativos digitales pertinentes para los niveles y contextos educativos.</t>
  </si>
  <si>
    <t>Reporte de ejecución/asistencia/grabacion</t>
  </si>
  <si>
    <t>Desarrollar estrategias para fomentar el uso de las tecnologías digitales en la comunidad educativa, orientado a la innovación de las prácticas educativas</t>
  </si>
  <si>
    <t>3.4 Implementar una estrategia que integre y articule a la familia con el Ecosistema de Innovación Educativa de acuerdo con el modelo de focalización definido por CPE. Esto con el propósito de fomentar el uso de las tecnologías digitales en padres de familia, orientado a procesos de apropiación básica de las tecnologías digitales para cerrar la brecha digital entre padres de familia, cuidadores e hijos, así como fomentar acciones con la comunidad educativa para mitigar los riesgos de las tecnologías digitales y el uso responsable de Internet.</t>
  </si>
  <si>
    <t>Padres o cuidadores capacitados</t>
  </si>
  <si>
    <t>Definir e implementar estrategias de apropiación de las tecnologías digitales en las prácticas educativas pertinentes a las necesidades del contexto educativo, el territorio y el estudiante</t>
  </si>
  <si>
    <t>1.7 Generar espacios colaborativos de docentes y estudiantes, para el desarrollo y elaboración de proyectos de robótica, programación, diseño 3D, entre otros, a partir de los componentes electrónicos recuperados de los equipos obsoletos. (Línea de acción 1).</t>
  </si>
  <si>
    <t xml:space="preserve">Estudiantes </t>
  </si>
  <si>
    <t>3.5 Desarrollar espacios regionales y nacionales de intercambio de experiencias significativas e innovadoras en el aula a partir del uso de las tecnologías digitales que permita: (i) la reflexión de la comunidad educativa sobre las dimensiones ética, comunicativa y cognitiva del uso de las tecnologías digitales, (ii) incentivar el uso de las tecnologías digitales en las aulas de clase y (iii) visibilizar las experiencias de la comunidad educativa de todas las regiones del país frente al uso de las tecnologías digitales. (Línea de acción 2).</t>
  </si>
  <si>
    <t>Evento</t>
  </si>
  <si>
    <t>3 a 24</t>
  </si>
  <si>
    <t>Mayor 80%</t>
  </si>
  <si>
    <t>Alto</t>
  </si>
  <si>
    <t>Preventivo 25%</t>
  </si>
  <si>
    <t>Manual 15%</t>
  </si>
  <si>
    <t>Reducir</t>
  </si>
  <si>
    <t>1. Ejecución y administración de procesos</t>
  </si>
  <si>
    <t>9. Riesgo de corrupcion</t>
  </si>
  <si>
    <t xml:space="preserve">Evitar </t>
  </si>
  <si>
    <t>PROBABILIDAD</t>
  </si>
  <si>
    <t>IMPACTO</t>
  </si>
  <si>
    <t>MATRIZ DE CALOR (NIVELES DE SEVERIDAD DEL RIESGO)</t>
  </si>
  <si>
    <t>FRECUENCIA</t>
  </si>
  <si>
    <t>NIVEL</t>
  </si>
  <si>
    <t>AFECTACIÓN ECONÓMICA</t>
  </si>
  <si>
    <t>REPUTACIONAL</t>
  </si>
  <si>
    <t>Muy Baja</t>
  </si>
  <si>
    <t xml:space="preserve">La actividad que conlleva el riesgo se ejecuta
como máximos 2 veces por año </t>
  </si>
  <si>
    <t>Leve</t>
  </si>
  <si>
    <t>Afectación menor a 10 SMLMV</t>
  </si>
  <si>
    <t>El riesgo afecta la imagen de algún área de la
organización.</t>
  </si>
  <si>
    <t>Muy Alta 100%</t>
  </si>
  <si>
    <t>ALTO</t>
  </si>
  <si>
    <t>EXTREMO</t>
  </si>
  <si>
    <t>Extremo</t>
  </si>
  <si>
    <t>Baja</t>
  </si>
  <si>
    <t>La actividad que conlleva el riesgo se ejecuta de
3 a 24 veces por año</t>
  </si>
  <si>
    <t>Menor</t>
  </si>
  <si>
    <t>Entre 10 y 50 SMLMV</t>
  </si>
  <si>
    <t>El riesgo afecta la imagen de la entidad
internamente, de conocimiento general nivel interno, de junta directiva y accionistas y/o de
proveedores</t>
  </si>
  <si>
    <t>Alta 80%</t>
  </si>
  <si>
    <t>MODERADO</t>
  </si>
  <si>
    <t>Media</t>
  </si>
  <si>
    <t xml:space="preserve">La actividad que conlleva el riesgo se ejecuta de
24 a 500 veces por año </t>
  </si>
  <si>
    <t>Moderado</t>
  </si>
  <si>
    <t xml:space="preserve">Entre 50 y 100 SMLMV </t>
  </si>
  <si>
    <t>El riesgo afecta la imagen de la entidad con algunos usuarios de relevancia frente al logro de los objetivos.</t>
  </si>
  <si>
    <t>Media 60%</t>
  </si>
  <si>
    <t>Alta</t>
  </si>
  <si>
    <t>La actividad que conlleva el riesgo se ejecuta
mínimo 500 veces al año y máximo 5000 veces
por año</t>
  </si>
  <si>
    <t>Mayor</t>
  </si>
  <si>
    <t>Entre 100 y 500 SMLMV</t>
  </si>
  <si>
    <t>El riesgo afecta la imagen de la entidad con efecto publicitario sostenido a nivel de sector administrativo, nivel departamental o municipal.</t>
  </si>
  <si>
    <t>Baja 40%</t>
  </si>
  <si>
    <t>BAJO</t>
  </si>
  <si>
    <t>Bajo</t>
  </si>
  <si>
    <t>Muy Alta</t>
  </si>
  <si>
    <t xml:space="preserve">La actividad que conlleva el riesgo se ejecuta más
de 5000 veces por año </t>
  </si>
  <si>
    <t>Catastrófico</t>
  </si>
  <si>
    <t>Mayor a 500 SMLMV</t>
  </si>
  <si>
    <t>El riesgo afecta la imagen de la entidad a nivel nacional, con efecto publicitario sostenido a nivel país.</t>
  </si>
  <si>
    <t>Muy Baja 20%</t>
  </si>
  <si>
    <t>Leve 20%</t>
  </si>
  <si>
    <t>Menor 40%</t>
  </si>
  <si>
    <t>Moderado 60%</t>
  </si>
  <si>
    <t>Catastrófico 100%</t>
  </si>
  <si>
    <t>Peso</t>
  </si>
  <si>
    <t>EFICIENCIA DEL CONTROL</t>
  </si>
  <si>
    <t>TIPO DE CONTROL</t>
  </si>
  <si>
    <t>Preventivo</t>
  </si>
  <si>
    <t>Detectivo</t>
  </si>
  <si>
    <t>Correctivo</t>
  </si>
  <si>
    <t>IMPLEMENTACIÓN</t>
  </si>
  <si>
    <t>Automático</t>
  </si>
  <si>
    <t>Manual</t>
  </si>
  <si>
    <t>TRATAMIENTO DEL RIESGO</t>
  </si>
  <si>
    <t>Transferir</t>
  </si>
  <si>
    <t>Aceptar</t>
  </si>
  <si>
    <t>Evitar</t>
  </si>
  <si>
    <t>Clasificación</t>
  </si>
  <si>
    <t>2. Fraude externo</t>
  </si>
  <si>
    <t xml:space="preserve">3. Fraude Interno </t>
  </si>
  <si>
    <t xml:space="preserve">4. Fallas tecnologicas </t>
  </si>
  <si>
    <t>5. Relaciones Laborales</t>
  </si>
  <si>
    <t>6. Usuarios, productos y prácticas</t>
  </si>
  <si>
    <t>7. Daños a activos fijos/ eventos externos</t>
  </si>
  <si>
    <t xml:space="preserve">8. Riesgo fiscal </t>
  </si>
  <si>
    <t>Probabilidad</t>
  </si>
  <si>
    <t>Frecuencia de la actividad</t>
  </si>
  <si>
    <t>%</t>
  </si>
  <si>
    <t>La actividad que conlleva el riesgo se ejecuta como máximos 2 veces por año</t>
  </si>
  <si>
    <t>La actividad que conlleva el riesgo se ejecuta 3 a 24 veces por año</t>
  </si>
  <si>
    <t>24 a 500</t>
  </si>
  <si>
    <t>La actividad que conlleva el riesgo se ejecuta de 24 a 500 veces por año</t>
  </si>
  <si>
    <t>min 500 al año y max 5000 al año</t>
  </si>
  <si>
    <t>La actividad que conlleva el riesgo se ejecuta mínimo 500 veces al año y máximo 5000 veces por año</t>
  </si>
  <si>
    <t>Muy alta 100%</t>
  </si>
  <si>
    <t>mas de 5000</t>
  </si>
  <si>
    <t>La actividad que conlleva el riesgo se ejecuta más de 5000 veces por año</t>
  </si>
  <si>
    <t xml:space="preserve">Riesgo fiscal </t>
  </si>
  <si>
    <t xml:space="preserve">RF_max 4 </t>
  </si>
  <si>
    <t xml:space="preserve">RF _Muy baja 20% </t>
  </si>
  <si>
    <t>RF_min 5 max 12</t>
  </si>
  <si>
    <t>RF_Baja 40%</t>
  </si>
  <si>
    <t>RF_min13 max365</t>
  </si>
  <si>
    <t>RF_Moderada 60%</t>
  </si>
  <si>
    <t>RF_min365 max 3660</t>
  </si>
  <si>
    <t>RF_Alta 80%</t>
  </si>
  <si>
    <t>RF_3661</t>
  </si>
  <si>
    <t>RF_Muy alta 100%</t>
  </si>
  <si>
    <t xml:space="preserve">Impacto </t>
  </si>
  <si>
    <t>Menor -40%</t>
  </si>
  <si>
    <t>Catastrofico 100%</t>
  </si>
  <si>
    <t>Mapa de Calor</t>
  </si>
  <si>
    <t xml:space="preserve">Moderado </t>
  </si>
  <si>
    <t>Tipo</t>
  </si>
  <si>
    <t>Detectivo  15%</t>
  </si>
  <si>
    <t>Correctivo 10%</t>
  </si>
  <si>
    <t xml:space="preserve">Implementaciòn </t>
  </si>
  <si>
    <t>Automatico 25%</t>
  </si>
  <si>
    <t>Tratamiento</t>
  </si>
  <si>
    <t>TIPO DE INDICADOR</t>
  </si>
  <si>
    <t>Formación Educativa</t>
  </si>
  <si>
    <t>Resultado</t>
  </si>
  <si>
    <t>Porcentaje</t>
  </si>
  <si>
    <t>Mínimo</t>
  </si>
  <si>
    <t>INICIALES DEL PROCESO</t>
  </si>
  <si>
    <t>INICIATIVAS</t>
  </si>
  <si>
    <t>LINEAS DE ACCIÓN</t>
  </si>
  <si>
    <t>AI</t>
  </si>
  <si>
    <t>Auditoría interna</t>
  </si>
  <si>
    <t>OE1 - Mejorar las condiciones de acceso a las herramientas digitales de las comunidades educativas del país</t>
  </si>
  <si>
    <t>Acompañar a las entidades territoriales en la estructuración y formulación de proyectos para acceder a recursos en tecnologías digitales</t>
  </si>
  <si>
    <t>1.10 Diseñar e implementar una estrategia de fomento al uso y apropiación de contenido educativo disponible, en docentes, estudiantes y padres de familia (Línea de acción 1).</t>
  </si>
  <si>
    <t>CO</t>
  </si>
  <si>
    <t>Comunicaciones</t>
  </si>
  <si>
    <t>Articulación institucional oportuna y eficaz</t>
  </si>
  <si>
    <t>1.2 Desarrollar e implementar un modelo de focalización y priorización de sedes educativas para la dotación de soluciones tecnológicas y tecnologías digitales, orientado a la disminución de la brecha regional en los departamentos y que tenga en cuenta la obsolescencia. (Línea de acción 1).</t>
  </si>
  <si>
    <t>DE</t>
  </si>
  <si>
    <t>Direccionamiento estratégico</t>
  </si>
  <si>
    <t>OE3 - Reducir el impacto negativo que ocasionan las TIC sobre el medio ambiente</t>
  </si>
  <si>
    <t>1.3 Implementar, mediante alianzas con el sector público y privado, laboratorios de innovación a través de la dotación de tecnologías digitales a las sedes educativas del sector oficial. Estos espacios de aprendizaje colaborativo entre docentes y estudiantes fomentarán el desarrollo de experiencias significativas de aprendizaje para aumentar la innovación en las prácticas educativas. Las alianzas incorporarán la definición de iniciativas de laboratorios de innovación y el modelo de implementación de los laboratorios de innovación. (Línea de acción 1).</t>
  </si>
  <si>
    <t>FO</t>
  </si>
  <si>
    <t>OE4 - Consolidar a Computadores para Educar como un programa sostenible, eficiente e innovador que contribuye logro de los objetivos de desarrollo sostenible</t>
  </si>
  <si>
    <t>Comunicación estratégica</t>
  </si>
  <si>
    <t>1.4 Definir e implementar un plan para la gestión de recursos de cooperación con entidades públicas, sector privado u organismos internacionales, entre otros, para aunar esfuerzos técnicos y financieros que permitan aumentar el acceso a tecnologías digitales a la población identificada. (Línea de acción 1).</t>
  </si>
  <si>
    <t>GAF</t>
  </si>
  <si>
    <t>Gestión administrativa y financiera</t>
  </si>
  <si>
    <t>1.5 Diseñar y socializar lineamientos para el seguimiento y gestión ambientalmente adecuada de las tecnologías obsoletas o en desuso, en el marco de la Política Nacional para la Gestión Integral de Residuos de Aparatos Electrónicos y Eléctricos - RAEE.
En este diseño se incluirán: (i) los lineamientos a las sedes educativas a nivel nacional para el aprovechamiento, tratamiento y disposición final de los residuos; (ii) un esquema de identificación y seguimiento para determinar el nivel de obsolescencia de las tecnologías; (iii) un plan de gestión de manufactura que involucre acciones articuladas con el sector productivo en las regiones, y (iv) formación a la comunidad educativa para el mantenimiento y reparación de los equipos obsoletos (Línea de acción 1).</t>
  </si>
  <si>
    <t>GC</t>
  </si>
  <si>
    <t>Gestión de contratación</t>
  </si>
  <si>
    <t>1.6 Gestionar los Residuos de Aparatos Eléctricos y Electrónicos, generados por las tecnologías obsoletas o en desuso. Esta gestión incluirá la focalización de los puntos objeto de retoma, la retoma y demanufactura de los RAEE y la gestión de los residuos peligrosos. (Línea de acción 1).</t>
  </si>
  <si>
    <t>GTI</t>
  </si>
  <si>
    <t>Gestión de TI</t>
  </si>
  <si>
    <t>Desarrollar un proceso sistemático y articulado de monitoreo y evaluación del uso, acceso e impacto de las tecnologías digitales en la educación</t>
  </si>
  <si>
    <t>GTH</t>
  </si>
  <si>
    <t>Gestión del talento humano</t>
  </si>
  <si>
    <t>1.8 Diseñar e implementar una hoja de ruta para favorecer el acceso a los recursos tecnológicos de todos los estudiantes con necesidades de aprendizaje diversas. (Línea de acción 1).</t>
  </si>
  <si>
    <t>GJ</t>
  </si>
  <si>
    <t>Gestión jurídica</t>
  </si>
  <si>
    <t>GL</t>
  </si>
  <si>
    <t>Gestión Logística</t>
  </si>
  <si>
    <t>2.5 Establecer y socializar la estrategia para utilizar un instrumento de agregación de demanda que facilite la compra agregada de conectividad. Computadores para Educar será la entidad compradora dentro del instrumento, lo cual permitirá la eliminación de los costos de intermediación del servicio y promoverá el uso eficiente de los recursos. (Línea de acción 3).</t>
  </si>
  <si>
    <t>HSEQ</t>
  </si>
  <si>
    <t>Estrategia de gestión TI</t>
  </si>
  <si>
    <t>ME</t>
  </si>
  <si>
    <t>Monitoreo y evaluación</t>
  </si>
  <si>
    <t>3.11 Generar espacios para la enseñanza con tecnologías digitales, que permitan desarrollar desde la educación básica y media, los habilitadores que requiere la Cuarta Revolución Industrial (Línea de acción 3).</t>
  </si>
  <si>
    <t>SC</t>
  </si>
  <si>
    <t>Servicio al cliente</t>
  </si>
  <si>
    <t>Garantizar que la entidad pueda ejecutar sus proyectos mediante la gestión del proceso contractual</t>
  </si>
  <si>
    <t>3.2 Diseñar e implementar una estrategia de acompañamiento y seguimiento a los docentes formados, de forma que se apoye técnica y pedagógicamente al docente para la co-creación de experiencias de enseñanza y aprendizaje, incorporando las tecnologías digitales en las prácticas educativas.</t>
  </si>
  <si>
    <t>ST</t>
  </si>
  <si>
    <t>Soluciones tecnológicas</t>
  </si>
  <si>
    <t>SA</t>
  </si>
  <si>
    <t>Sostenibilidad Ambiental</t>
  </si>
  <si>
    <t>Gestión institucional eficiente y sostenible</t>
  </si>
  <si>
    <t>3.8 Diseñar e implementar, con base en el modelo de focalización de la acción 1.2, una estrategia de apropiación para los estudiantes acorde con la trayectoria educativa (niveles de preescolar, básica y media), de forma que; (i) responda a las necesidades de los diferentes contextos territoriales, (ii) se incentive y priorice el desarrollo de competencias del siglo XXI, (iii) se priorice en la educación media el desarrollo de competencias y habilidades para la Cuarta Revolución Industrial, (iv) de manera transversal, se oriente el uso de las tecnologías digitales a las necesidades e intereses de los estudiantes orientado a la innovación. Esta estrategia se orientará bajo el enfoque de STEAM+A</t>
  </si>
  <si>
    <t>3.9 Diseñar e implementar espacios de co-creación con los estudiantes para fomentar el desarrollo de competencias del siglo XXI a través de las tecnologías digitales. Este proceso formativo tendrá como resultado la identificación de estrategias innovadoras a partir de las tecnologías digitales, permitiéndoles de manera práctica dar solución a las necesidades de su contexto. (Línea de acción 3). *(Actividad con costos asumidos en actividad 3.11)*</t>
  </si>
  <si>
    <t>Gestionar las terminales obsoletas y la disposición adecuada de los residuos tecnológicos</t>
  </si>
  <si>
    <t>4.2 Diseñar y articular instrumentos unificados de recolección de datos que permitan hacer un seguimiento sistemático del acceso y uso de recursos digitales en las prácticas educativas por parte de docentes y estudiantes. Estos instrumentos tendrán en cuenta métodos de recolección tipo encuestas, registros administrativos y métodos de recolección de información cualitativa a partir de registros etnográficos, métodos de observación, grupos focales, entre otros. Estos instrumentos deberán tener el aval técnico requerido para su implementación (DANE) y estar articulados con la estrategia de monitoreo y evaluación.</t>
  </si>
  <si>
    <t>Incrementar el número de sedes educativas con conectividad a Internet</t>
  </si>
  <si>
    <t>4.3 Diseñar e implementar el Sistema de Información y Evaluación para la Innovación Educativa a partir de las Tecnologías digitales que compile la información sobre: el uso de las TIC, el acceso a conectividad y recursos digitales, la formación docente, resultados en el aprendizaje de los estudiantes, entre otros Este sistema deberá contar con la información pertinente para realizar el monitoreo y evaluación de la incorporación de las tecnologías digitales, así como, la recolección de datos deben ser compatibles con el Sistema de Información y el observatorio de la Innovación Educativa Importante: Definición e implementación de política publica para la obligatoriedad del reporte de la información</t>
  </si>
  <si>
    <t>4.5 Diseñar e implementar un Índice de Evolución Digital que le permita a Computadores para Educar medir la intervención de las sedes educativas beneficiarias por el programa. Esta herramienta permitirá la medición de las capacidades de las sedes educativas de acuerdo con los niveles de conectividad, el nivel de acceso de tecnologías digitales, y los niveles de apropiación de las tecnologías digitales por parte de la comunidad educativa. Este índice deberá ser incluido en el Sistema de Información y Evaluación, y actualizado periódicamente a partir de la línea base. La construcción del índice deberá incluir las dimensiones y variables, cálculo del índice y la definición de una línea base (Línea de acción 1).</t>
  </si>
  <si>
    <t>1.7 (Conpes 4068)  Incorporar la dotación y actualización de equipos en bibliotecas escolares de establecimientos educativos públicos como elementos adicionales en el modelo de focalización de Computadores para Educar</t>
  </si>
  <si>
    <t>Monitoreo, control y evaluación</t>
  </si>
  <si>
    <t>1.29 (Conpes 4040) Desarrollar, a través de Computadores para Educar, una estrategia de dotación tecnológica de terminales para Instituciones de Educación Superior Públicas, de acuerdo con el modelo de focalización y priorización diseñado, con el fin de aportar a la mejora de las condiciones de calidad de la educación superior pública, así como al cierre de la brecha digital en las regiones.</t>
  </si>
  <si>
    <t>Actualización competencias</t>
  </si>
  <si>
    <t>Administrar efectivamente los recursos financieros de CPE</t>
  </si>
  <si>
    <t>Administrar efectivamente los recursos físicos de CPE</t>
  </si>
  <si>
    <t>Aportar información de interés para la mejora de los procesos</t>
  </si>
  <si>
    <t>Apoyo Jurídico a la Entidad</t>
  </si>
  <si>
    <t>Atender y gestionar las necesidades de los beneficiarios y/o interesados de la Entidad</t>
  </si>
  <si>
    <t>Capacitación</t>
  </si>
  <si>
    <t>Comunicación Interna</t>
  </si>
  <si>
    <t>Contribuir a la toma de decisiones mediante el seguimiento y evaluación de los pilotos o pruebas de concepto realizados por los procesos institucionales</t>
  </si>
  <si>
    <t>Coordinar de manera eficiente la relación con entes externos</t>
  </si>
  <si>
    <t xml:space="preserve">Desarrollar el Sistema de Información Misional </t>
  </si>
  <si>
    <t>Desarrollar las competencias y los conocimientos</t>
  </si>
  <si>
    <t>Desarrollar una acertada Gestión Institucional</t>
  </si>
  <si>
    <t>Diseñar y ejecutar la estrategia de acceso, uso y apropiación</t>
  </si>
  <si>
    <t>Efectuar monitoreo y seguimiento al efecto de las actividades desarrolladas por Computadores para Educar</t>
  </si>
  <si>
    <t>Evaluar adecuadamente la Gestión del Riesgo</t>
  </si>
  <si>
    <t>Fortalecer de manera activa la cultura hacia la prevención</t>
  </si>
  <si>
    <t xml:space="preserve">Fortalecer la gestión de los proyectos </t>
  </si>
  <si>
    <t>Fortalecer los sistemas integrados de gestión</t>
  </si>
  <si>
    <t xml:space="preserve">Gestión documental </t>
  </si>
  <si>
    <t>Gestión oportuna de los Planes de Mejoramiento</t>
  </si>
  <si>
    <t>Gestionar eficazmente la información pública de la organización</t>
  </si>
  <si>
    <t>Gestionar eficientemente el inventario</t>
  </si>
  <si>
    <t>Gestionar eficientemente el presupuesto de la entidad</t>
  </si>
  <si>
    <t>Gestionar la etapa Contractual</t>
  </si>
  <si>
    <t>Gestionar la etapa Post-Contractual</t>
  </si>
  <si>
    <t>Gestionar la etapa Precontractual</t>
  </si>
  <si>
    <t>Gestionar la información financiera, contable y presupuestal</t>
  </si>
  <si>
    <t xml:space="preserve">Gestionar los servicios de TI </t>
  </si>
  <si>
    <t>Gestionar oportunamente el plan estratégico</t>
  </si>
  <si>
    <t>Hacer seguimiento al Plan Anticorrupción y de Atención al ciudadano</t>
  </si>
  <si>
    <t>Implementar los grupos primarios</t>
  </si>
  <si>
    <t>Mantener elementos transaccionales para la gestión del talento humano</t>
  </si>
  <si>
    <t>Mejorar el desempeño de la política de gobierno digital, para abordar la adopción y explotación de la transformación digital (Conpes 3975)</t>
  </si>
  <si>
    <t>Proporcionar y mantener un ambiente laboral saludable</t>
  </si>
  <si>
    <t>Realizar monitoreo y seguimiento al impacto de las actividades desarrolladas por los procesos misionales de Computadores para Educar en las sedes educativas públicas del nivel nacional.</t>
  </si>
  <si>
    <t>Realizar transferencia de conocimiento</t>
  </si>
  <si>
    <t>Representación judicial de la Entidad</t>
  </si>
  <si>
    <t>Revisión legal CPE</t>
  </si>
  <si>
    <t>Seguimiento a Manual de comité conciliación y defensa judicial.</t>
  </si>
  <si>
    <t>Seguimiento al Plan Anticorrupción y de Atención al ciudadano</t>
  </si>
  <si>
    <t xml:space="preserve">Supervisar los contratos </t>
  </si>
  <si>
    <t>METAS SEGÚN PPTO MGMP</t>
  </si>
  <si>
    <t>Descripción</t>
  </si>
  <si>
    <t>Unidad de medida</t>
  </si>
  <si>
    <t>Meta II cuatrienio (Indicadores por producto en SUIFP)</t>
  </si>
  <si>
    <t>Meta II cuatrienio</t>
  </si>
  <si>
    <t xml:space="preserve">Justificación </t>
  </si>
  <si>
    <t>Benefeciarios Totales</t>
  </si>
  <si>
    <t>Beneficiarios</t>
  </si>
  <si>
    <t xml:space="preserve">Estudiantes de sedes educativas oficiales beneficiados con el servicio de apoyo en tecnologías de la información y las comunicaciones para la educación. </t>
  </si>
  <si>
    <r>
      <t>Estudiantes de sedes educativas oficiales beneficiados con e</t>
    </r>
    <r>
      <rPr>
        <b/>
        <sz val="11"/>
        <color theme="1"/>
        <rFont val="Calibri"/>
        <family val="2"/>
        <scheme val="minor"/>
      </rPr>
      <t>l servicio de apoyo en tecnologías de la información y las comunicaciones para la educación</t>
    </r>
  </si>
  <si>
    <t>Relación de estudiantes por terminal de cómputo en sedes educativas oficiales</t>
  </si>
  <si>
    <t>Número</t>
  </si>
  <si>
    <t>Terminales de cómputo con contenidos digitales entregadas (estudiantes)</t>
  </si>
  <si>
    <t>Terminales de cómputo con contenidos digitales entregadas a sedes educativas para uso de docentes</t>
  </si>
  <si>
    <t>Requerimientos técnicos atendidos</t>
  </si>
  <si>
    <t>Sedes educativas oficiales con acceso a terminales de cómputo y contenidos digitales</t>
  </si>
  <si>
    <r>
      <t xml:space="preserve">Nuevas soluciones tecnologicas entregadas a sedes educativas </t>
    </r>
    <r>
      <rPr>
        <b/>
        <sz val="11"/>
        <rFont val="Calibri"/>
        <family val="2"/>
        <scheme val="minor"/>
      </rPr>
      <t>(sedes)</t>
    </r>
  </si>
  <si>
    <t>Docentes acompañados en procesos de educativos con tecnologías digitales</t>
  </si>
  <si>
    <t>Estudiantes acompañados en pocesos de educativos con tecnologías digitales</t>
  </si>
  <si>
    <t>Personas capacitadas</t>
  </si>
  <si>
    <t>Docentes formados en uso pedagógico de tecnologías de la información y las comunicaciones</t>
  </si>
  <si>
    <t>Eventos de socialización de experiencias exitosas en el uso práctico de las tecnologías de la información en la educación</t>
  </si>
  <si>
    <t>Residuos electrónicos dispuestos correctamente. (Demanufactura)- toneladas</t>
  </si>
  <si>
    <t>Toneladas</t>
  </si>
  <si>
    <t>Equipos obsoletos retomados</t>
  </si>
  <si>
    <t>Kits para procesos de aprendizaje elaborados con residuos eléctricos y electrónico</t>
  </si>
  <si>
    <t>Personas de la comunidad capacitadas en la correcta disposición de residuos de aparatos eléctricos y electrónico</t>
  </si>
  <si>
    <t>Eventos de difusión realizados</t>
  </si>
  <si>
    <t>Compra</t>
  </si>
  <si>
    <t>Supuestos en la Proyección costos</t>
  </si>
  <si>
    <t>Adquirir cajas de carton</t>
  </si>
  <si>
    <t>Los proximos años la meta de recepción de retoma es considerablemente alta por lo que es necesario incluir para las proximas vigencias compra de cajas triage, refuerzos y nuevamente las kit maker.</t>
  </si>
  <si>
    <t>Servicios de operación en campo  - Operador de campo</t>
  </si>
  <si>
    <t>Para  las proximas vigencias  se va a requerrir el opedrador en campo dado que esta gestión es de vital importancia para la retoma de equipos.</t>
  </si>
  <si>
    <t>Contratar el servicio de matenimiento para las estanterias</t>
  </si>
  <si>
    <t xml:space="preserve">Se realiza un aumento en el presupuesto dado la necesidad de realizar el estudio de cargas por nivel de estanteria para cumplir con requisito de TH. </t>
  </si>
  <si>
    <t>Adquirir insumos para empaque y papelería</t>
  </si>
  <si>
    <t>Se mantiene el porcentaje 2.4%</t>
  </si>
  <si>
    <t>Adquirir bolsas para retoma</t>
  </si>
  <si>
    <t>La disminución de las cantidades se debe a la dismunucion del tamaño de los equipos a retomar y la disponibilidad de bolsas que se encuentran almacenadas en CENARE.
Basado en el EM realizado en 2021 se evidencia un incremento en las cotizaciones enviadas por las empresas debido al tipo de material.</t>
  </si>
  <si>
    <t>Contratar los servicios de transporte</t>
  </si>
  <si>
    <t>Una vez realizada la proyección para el periodo 2022 basandose en los resultados de retoma 2020 en cuanto a las cantidades retomadas por zona y los costos unitarios aplicados a la vigencia 2021 , se calcularon los costos necesarios para dar cumplimiento en materia de transporte a la meta de retoma de 30.000 equipos por el valor de $1.282.740.000, donde cada equipo tiene un peso aproximado de 7,6 kg teniendo en cuenta las tendencias de 2020 y 2021 hasta la fecha.</t>
  </si>
  <si>
    <t>Contratar los servicios gestión de residuos peligrosos</t>
  </si>
  <si>
    <t>La meta de RESPEL va ligada a la meta de demanufactura la cual tiene un aumento del 75% respecto al 2021. Por lo cual se aumenta la generación de RESPEL acorde a la meta de demanufactura.</t>
  </si>
  <si>
    <t>Contratar los servicios de mantenimiento para banda transportadora y montacargas</t>
  </si>
  <si>
    <t>Costos necesarios para la operación de recuperación de equipos obsoletos</t>
  </si>
  <si>
    <t>Contratar los servicios de mantenimiento para basculas y balanzas</t>
  </si>
  <si>
    <t>El aumento del porcentaje se debe a que se tomo el valor de cotización del año 2021 para las misma necesidades. El valor asignado para las proximas vigencias fue considerablemente bajo dada la situacion de la pandemia respecto a la disminución de oferta de servicio de mantenimiento y calibración de estos elementos.</t>
  </si>
  <si>
    <t>Contratar los servicios para proceso de enajenación de bienes</t>
  </si>
  <si>
    <t>Se realiza aumento en el presupuesto , dado que se tienen elementos diferentes a materiales obtenidos en CENARE que se deben llevar a subasta, por lo que ese aumento se proyecta para que cubra el valor de comisión de esos elementos.</t>
  </si>
  <si>
    <t xml:space="preserve">Proyecto de inversión </t>
  </si>
  <si>
    <t xml:space="preserve">Indicador </t>
  </si>
  <si>
    <t>Meta 2023</t>
  </si>
  <si>
    <t>Meta 2024</t>
  </si>
  <si>
    <t>Meta 2025</t>
  </si>
  <si>
    <t>Meta 2026</t>
  </si>
  <si>
    <t>Metas Cuatrienio 2023 -  2026</t>
  </si>
  <si>
    <t>INCREMENTO DE LA DOTACIÓN DIRECTA DE SOLUCIONES TECNOLÓGICAS PARA ESTUDIANTES, MENORES DE EDAD UBICADOS EN ZONAS URBANAS, RURALES, APARTADAS Y DE DIFÍCIL ACCESO, E I.E.S Y REALIZAR LA GESTIÓN ADECUADA DE EQUIPOS OBSOLETOS Y EN DESUSO A NIVEL NACIONAL</t>
  </si>
  <si>
    <t>Sevicio de Asistencia técnicas realizadas: Entrega directa - soluciones tecnologicas entregadas</t>
  </si>
  <si>
    <t>Residuos electrónicos dispuestos correctamente ETM  (Demanufactura-equipos telefonos moviles incautados Policia Nacional)- Toneladas</t>
  </si>
  <si>
    <t>Equipos obsoletos retomados ETM. (equipos telefonos moviles incautados Policia Nacional)</t>
  </si>
  <si>
    <t xml:space="preserve">Acompañar a la comunidad en los procesos de uso y apropiacion de las TIC </t>
  </si>
  <si>
    <t>Prestar el servicio tecnico garantia y mantenimiento - enmtrega directa</t>
  </si>
  <si>
    <t>Impacto</t>
  </si>
  <si>
    <t>1. Responsabes</t>
  </si>
  <si>
    <t>2. Perioricidad</t>
  </si>
  <si>
    <t>3. Proposito</t>
  </si>
  <si>
    <t>4. Como se realiza la actividad de control</t>
  </si>
  <si>
    <t>5. Que pasa con las observaciones y desviaciones</t>
  </si>
  <si>
    <t>6. Evidencia de la ejecuciòn del control</t>
  </si>
  <si>
    <t>Rara vez</t>
  </si>
  <si>
    <t>Catastrofico</t>
  </si>
  <si>
    <t>1. Estratégico</t>
  </si>
  <si>
    <t>Asignado</t>
  </si>
  <si>
    <t>Adecuado</t>
  </si>
  <si>
    <t>Oportuna</t>
  </si>
  <si>
    <t>Prevenir</t>
  </si>
  <si>
    <t>Confiable</t>
  </si>
  <si>
    <t>Se investigan y resuelven oportunamente</t>
  </si>
  <si>
    <t>Completa</t>
  </si>
  <si>
    <t>Improbable</t>
  </si>
  <si>
    <t>2. Gerenciales</t>
  </si>
  <si>
    <t>No Asignado</t>
  </si>
  <si>
    <t>Inadecuado</t>
  </si>
  <si>
    <t>Inoportuna</t>
  </si>
  <si>
    <t>Detectar</t>
  </si>
  <si>
    <t>No confiable</t>
  </si>
  <si>
    <t>No se investigan y no se resuelven oportunamente</t>
  </si>
  <si>
    <t>Incompleta</t>
  </si>
  <si>
    <t>Posible</t>
  </si>
  <si>
    <t>3. Operativos</t>
  </si>
  <si>
    <t>No es un control</t>
  </si>
  <si>
    <t>No existe</t>
  </si>
  <si>
    <t>Probable</t>
  </si>
  <si>
    <t>4. Financiero</t>
  </si>
  <si>
    <t>Casi seguro</t>
  </si>
  <si>
    <t>Insignificante</t>
  </si>
  <si>
    <t>5. Tecnológicos</t>
  </si>
  <si>
    <t>6. Cumplimiento</t>
  </si>
  <si>
    <t>7. Imagen ó reputacional</t>
  </si>
  <si>
    <t>El control se ejecuta de manera consiente por parte del responsable</t>
  </si>
  <si>
    <t>Solidez individual de cada control</t>
  </si>
  <si>
    <t>8. Corrupción</t>
  </si>
  <si>
    <t>Siempre se ejecuta</t>
  </si>
  <si>
    <t>Fuerte</t>
  </si>
  <si>
    <t>Algunas veces</t>
  </si>
  <si>
    <t>Riego Residual</t>
  </si>
  <si>
    <t>Tipo de Control</t>
  </si>
  <si>
    <t>Procesos</t>
  </si>
  <si>
    <t>No se ejecuta</t>
  </si>
  <si>
    <t>Debil</t>
  </si>
  <si>
    <t>ExtremaFuerte</t>
  </si>
  <si>
    <t>Moderada</t>
  </si>
  <si>
    <t>Direccionamiento Estratégico</t>
  </si>
  <si>
    <t>AltaFuerte</t>
  </si>
  <si>
    <t>ModeradaFuerte</t>
  </si>
  <si>
    <t>Gestión TI</t>
  </si>
  <si>
    <t>BajaFuerte</t>
  </si>
  <si>
    <t>No es sujeto de seguimiento</t>
  </si>
  <si>
    <t>Gestión HSEQ</t>
  </si>
  <si>
    <t>ExtremaModerado</t>
  </si>
  <si>
    <t>Auditoría Interna</t>
  </si>
  <si>
    <t>AltaModerado</t>
  </si>
  <si>
    <t>Monitoreo y Evaluación</t>
  </si>
  <si>
    <t>ModeradaModerado</t>
  </si>
  <si>
    <t>Gestión de Soluciones Tecnológicas</t>
  </si>
  <si>
    <t>BajaModerado</t>
  </si>
  <si>
    <t xml:space="preserve">Sostenibildad Ambiental </t>
  </si>
  <si>
    <t>ExtremaDébil</t>
  </si>
  <si>
    <t>Extrema</t>
  </si>
  <si>
    <t>AltaDébil</t>
  </si>
  <si>
    <t>ModeradaDébil</t>
  </si>
  <si>
    <t>Servicio al Cliente</t>
  </si>
  <si>
    <t>BajaDébil</t>
  </si>
  <si>
    <t>Gestión Administrativa y Financiera</t>
  </si>
  <si>
    <t>Gestión de Talento Humano</t>
  </si>
  <si>
    <t>Gestión de Contratación</t>
  </si>
  <si>
    <t>Gestión Jurídica</t>
  </si>
  <si>
    <t>Direccionamiento Estratégico, Comunicaciones, Gestión TI, Monitoreo y Evaluación, Gestión de Soluciones Tecnológicas, Sostenibilidad Ambiental, Formación Educativa, Gestión Logística, Servicio al Cliente, Gestión Administrativa y Financiera, Gestión de Talento Humano, Gestión de Contratación</t>
  </si>
  <si>
    <t>Soluciones Tecnológicas, Sostenibilidad Ambiental</t>
  </si>
  <si>
    <t>Ejemplos</t>
  </si>
  <si>
    <r>
      <rPr>
        <b/>
        <sz val="12"/>
        <color theme="1"/>
        <rFont val="Franklin Gothic Book"/>
        <family val="2"/>
      </rPr>
      <t>Indicadores de gestión</t>
    </r>
    <r>
      <rPr>
        <sz val="11"/>
        <color theme="1"/>
        <rFont val="Franklin Gothic Book"/>
        <family val="2"/>
      </rPr>
      <t>: su objetivo es cuantificar y medir dos elementos: a) La cantidad de insumos utilizados y b) Las acciones de gestión realizadas
Con los insumos y las actividades, una entidad hace énfasis para lograr la eficiencia de su proceso productivo (máxima cantidad de producto que un nivel dado de insumos puede generar (por ejemplo, el gasto público) o, alternativamente, el nivel mínimo de insumos que se requiere para generar una cantidad dada de producto).
Isumos:  factores productivos (físicos, humanos, jurídicos, y financieros), bienes y/o servicios con los que se cuenta para la generación de valor en el proceso productivo
Actividades: conjunto de acciones que contribuyen a la transformación de insumos en productos.
.</t>
    </r>
  </si>
  <si>
    <t>Indicadores de insumo:
•	 Recursos invertidos para el apoyo a la innovación y desarrollo tecnológico.
•	 Equipos de cómputo comprados para escuelas rurales.
•	 Docentes contratados para centros educativos de comunidades indígenas.
•	 Lineamientos de política pública para el fomento de juegos tradicionales autóctonos.</t>
  </si>
  <si>
    <t>Indicadores de actividades:
•	 Municipios focalizados por la estrategia nacional de prevención de embarazo en adolescentes que implementan jornada única.
•	 Municipios con información recolectada con la ficha SISBEN.
•	 Visitas de inspección, vigilancia y control de medicamentos y alimentos realizadas</t>
  </si>
  <si>
    <r>
      <rPr>
        <b/>
        <sz val="12"/>
        <color theme="1"/>
        <rFont val="Franklin Gothic Book"/>
        <family val="2"/>
      </rPr>
      <t>Indicadores de producto</t>
    </r>
    <r>
      <rPr>
        <sz val="11"/>
        <color theme="1"/>
        <rFont val="Franklin Gothic Book"/>
        <family val="2"/>
      </rPr>
      <t>: su objetivo es cuantificar y medir: a) Bienes y servicios entregados y b) Beneficiarios de bienes y servicios entregados
Miden los bienes y servicios que son generados y entregados, cumpliendo los estándares de calidad definidos, como consecuencia de la transformación de los insumos a través de un proceso de producción.
Los bienes son aquellos productos de carácter físico, tangible y acumulable. Normalmente son sujetos de desgaste y depreciación por el uso; en tanto que los servicios son los productos intangibles y no acumulables, su efecto es inmediato y se producen al mismo tiempo de su consumo, a través de una relación directa entre proveedores y receptores de los servicios.</t>
    </r>
  </si>
  <si>
    <t>Indicadores por lado de oferta:
• Antenas de telefonía móvil construidas.
• Nuevas casas de justicia y nuevos centros de convivencia ciudadana en funcionamiento.
• Kilómetros de calzadas construidas a través de concesión</t>
  </si>
  <si>
    <t>Indicadores lado de la demanda
•Personas beneficiadas a través de las antenas de telefonía móvil.
•Número de solicitudes recibidas por las casas de justicia y centros de convivencia ciudadana.
• Municipios beneficiados con los kilómetros de calzadas construidos.
•Productores rurales beneficiados con asistencia técnica integral.</t>
  </si>
  <si>
    <t>Indicadores de resultado: su objetivo es cuantificar y valorar: a) El cambio en las condiciones de bienestar, b) El cambio de percepción y c) Generación de conocimiento
Son aquellos que cuantifican los efectos relacionados con la intervención pública. De esta forma, estos indicadores miden los cambios de percepción, conocimiento, condiciones de bienestar, entre otros</t>
  </si>
  <si>
    <t>Indicadores que cuantifican los efectos generados desde el lado de los beneficiarios o consumidores como, por ejemplo:
•	 Personas fallecidas en accidentes de tránsito.
•	 Percepción de acceso a los servicios de salud.
•	 Afiliados activos a pensiones</t>
  </si>
  <si>
    <t>Indicadores que miden los cambios en el bienestar de la población como:
•	 Índice de Pobreza Multidimensional
•	 Pobreza Monetaria Rural.
•	 Índice de fatalidad minera.
•	 Tasa de cobertura en educación superior.
•	 Déficit habitacional rural.
•	 Acceso a internet en hogares</t>
  </si>
  <si>
    <t>CONTROL</t>
  </si>
  <si>
    <t>Tipo de Proceso</t>
  </si>
  <si>
    <t>Producto</t>
  </si>
  <si>
    <t>Acumulable</t>
  </si>
  <si>
    <t>Misional</t>
  </si>
  <si>
    <t>Gestión</t>
  </si>
  <si>
    <t>Máximo</t>
  </si>
  <si>
    <t>Estratégico</t>
  </si>
  <si>
    <t>Apoyo</t>
  </si>
  <si>
    <t>ENERO</t>
  </si>
  <si>
    <t>FEBRERO</t>
  </si>
  <si>
    <t>MARZO</t>
  </si>
  <si>
    <t>ABRIL</t>
  </si>
  <si>
    <t>MAYO</t>
  </si>
  <si>
    <t>JUNIO</t>
  </si>
  <si>
    <t>JULIO</t>
  </si>
  <si>
    <t>AGOSTO</t>
  </si>
  <si>
    <t>SEPTIEMBRE</t>
  </si>
  <si>
    <t>OCTUBRE</t>
  </si>
  <si>
    <t>NOVIEMBRE</t>
  </si>
  <si>
    <t>DICIEMBRE</t>
  </si>
  <si>
    <t>Mesas Técnicas de innovación</t>
  </si>
  <si>
    <t xml:space="preserve">Actividades de innovación pública </t>
  </si>
  <si>
    <t>Docentes formados y acompañados</t>
  </si>
  <si>
    <t>Actualización y mejora de los contenidos educativos digitales</t>
  </si>
  <si>
    <t>AVANCE DE EJECUCIÓN PLAN DE ACCIÓN 2026</t>
  </si>
  <si>
    <t>Alcanzar 800 nuevos Centros de Interés - Línea 1</t>
  </si>
  <si>
    <t>Alcanzar 700 Centros de Interés fortalecidos - Linea 2</t>
  </si>
  <si>
    <t>Actividades para la familia</t>
  </si>
  <si>
    <t>Estudiantes participantes en procesos de formación</t>
  </si>
  <si>
    <t>Encuentros, eventos y espacios de participación y/o formación</t>
  </si>
  <si>
    <t>Alcanzar  400 nuevas Iniciativas Escolares que integran la Tecnologia - Línea 3</t>
  </si>
  <si>
    <t xml:space="preserve">Iniciativas Escolares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</si>
</sst>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_ * #,##0.00_ ;_ * \-#,##0.00_ ;_ * &quot;-&quot;??_ ;_ @_ "/>
    <numFmt numFmtId="166" formatCode="_-* #,##0_-;\-* #,##0_-;_-* &quot;-&quot;??_-;_-@_-"/>
  </numFmts>
  <fonts count="31"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Arial Narrow"/>
      <family val="2"/>
    </font>
    <font>
      <sz val="10"/>
      <name val="Arial"/>
      <family val="2"/>
    </font>
    <font>
      <sz val="11"/>
      <name val="Arial Narrow"/>
      <family val="2"/>
    </font>
    <font>
      <sz val="10"/>
      <color theme="1"/>
      <name val="Calibri"/>
      <family val="2"/>
      <scheme val="minor"/>
    </font>
    <font>
      <b/>
      <sz val="11"/>
      <color theme="0"/>
      <name val="Arial Narrow"/>
      <family val="2"/>
    </font>
    <font>
      <sz val="11"/>
      <color theme="1"/>
      <name val="Franklin Gothic Book"/>
      <family val="2"/>
    </font>
    <font>
      <b/>
      <sz val="12"/>
      <color theme="1"/>
      <name val="Franklin Gothic Book"/>
      <family val="2"/>
    </font>
    <font>
      <sz val="9"/>
      <color theme="1"/>
      <name val="Franklin Gothic Book"/>
      <family val="2"/>
    </font>
    <font>
      <sz val="11"/>
      <color theme="0"/>
      <name val="Calibri"/>
      <family val="2"/>
      <scheme val="minor"/>
    </font>
    <font>
      <sz val="11"/>
      <name val="Calibri"/>
      <family val="2"/>
      <scheme val="minor"/>
    </font>
    <font>
      <b/>
      <sz val="11"/>
      <name val="Calibri"/>
      <family val="2"/>
      <scheme val="minor"/>
    </font>
    <font>
      <b/>
      <sz val="11"/>
      <color theme="0"/>
      <name val="Calibri"/>
      <family val="2"/>
      <scheme val="minor"/>
    </font>
    <font>
      <b/>
      <sz val="16"/>
      <color theme="1"/>
      <name val="Calibri"/>
      <family val="2"/>
      <scheme val="minor"/>
    </font>
    <font>
      <sz val="16"/>
      <color theme="1"/>
      <name val="Calibri"/>
      <family val="2"/>
      <scheme val="minor"/>
    </font>
    <font>
      <b/>
      <sz val="18"/>
      <color theme="1"/>
      <name val="Calibri"/>
      <family val="2"/>
      <scheme val="minor"/>
    </font>
    <font>
      <sz val="8"/>
      <name val="Calibri"/>
      <family val="2"/>
      <scheme val="minor"/>
    </font>
    <font>
      <sz val="8"/>
      <color theme="1"/>
      <name val="Verdana"/>
      <family val="2"/>
    </font>
    <font>
      <sz val="8"/>
      <color rgb="FF000000"/>
      <name val="Verdana"/>
      <family val="2"/>
    </font>
    <font>
      <b/>
      <sz val="8"/>
      <color rgb="FF000000"/>
      <name val="Verdana"/>
      <family val="2"/>
    </font>
    <font>
      <b/>
      <sz val="20"/>
      <name val="Franklin Gothic Book"/>
      <family val="2"/>
    </font>
    <font>
      <b/>
      <sz val="11"/>
      <name val="Franklin Gothic Book"/>
      <family val="2"/>
    </font>
    <font>
      <b/>
      <sz val="9"/>
      <name val="Franklin Gothic Book"/>
      <family val="2"/>
    </font>
    <font>
      <b/>
      <sz val="16"/>
      <name val="Franklin Gothic Book"/>
      <family val="2"/>
    </font>
    <font>
      <sz val="11"/>
      <name val="Franklin Gothic Book"/>
      <family val="2"/>
    </font>
    <font>
      <b/>
      <sz val="10"/>
      <color theme="1"/>
      <name val="Arial Narrow"/>
      <family val="2"/>
    </font>
    <font>
      <sz val="10"/>
      <color theme="1"/>
      <name val="Arial Narrow"/>
      <family val="2"/>
    </font>
    <font>
      <sz val="10"/>
      <color theme="1"/>
      <name val="Franklin Gothic Book"/>
      <family val="2"/>
    </font>
    <font>
      <sz val="10"/>
      <name val="Arial Narrow"/>
      <family val="2"/>
    </font>
  </fonts>
  <fills count="22">
    <fill>
      <patternFill patternType="none"/>
    </fill>
    <fill>
      <patternFill patternType="gray125"/>
    </fill>
    <fill>
      <patternFill patternType="solid">
        <fgColor theme="0"/>
        <bgColor indexed="64"/>
      </patternFill>
    </fill>
    <fill>
      <patternFill patternType="solid">
        <fgColor theme="6" tint="0.59999389629810485"/>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249977111117893"/>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499984740745262"/>
        <bgColor indexed="64"/>
      </patternFill>
    </fill>
    <fill>
      <patternFill patternType="solid">
        <fgColor rgb="FFEE8036"/>
        <bgColor indexed="64"/>
      </patternFill>
    </fill>
    <fill>
      <patternFill patternType="solid">
        <fgColor rgb="FFFFC000"/>
        <bgColor indexed="64"/>
      </patternFill>
    </fill>
    <fill>
      <patternFill patternType="solid">
        <fgColor rgb="FFFFFF66"/>
        <bgColor indexed="64"/>
      </patternFill>
    </fill>
    <fill>
      <patternFill patternType="solid">
        <fgColor rgb="FF002060"/>
        <bgColor indexed="64"/>
      </patternFill>
    </fill>
    <fill>
      <patternFill patternType="solid">
        <fgColor theme="9" tint="-0.249977111117893"/>
        <bgColor indexed="64"/>
      </patternFill>
    </fill>
    <fill>
      <patternFill patternType="solid">
        <fgColor rgb="FFFFFFFF"/>
        <bgColor rgb="FF000000"/>
      </patternFill>
    </fill>
    <fill>
      <patternFill patternType="solid">
        <fgColor rgb="FFE2EFDA"/>
        <bgColor rgb="FF000000"/>
      </patternFill>
    </fill>
    <fill>
      <patternFill patternType="solid">
        <fgColor rgb="FFC6E0B4"/>
        <bgColor rgb="FF000000"/>
      </patternFill>
    </fill>
    <fill>
      <patternFill patternType="solid">
        <fgColor rgb="FFFFFF00"/>
        <bgColor rgb="FF000000"/>
      </patternFill>
    </fill>
  </fills>
  <borders count="41">
    <border>
      <left/>
      <right/>
      <top/>
      <bottom/>
      <diagonal/>
    </border>
    <border>
      <left style="thin">
        <color indexed="64"/>
      </left>
      <right style="thin">
        <color indexed="64"/>
      </right>
      <top style="thin">
        <color indexed="64"/>
      </top>
      <bottom style="thin">
        <color indexed="64"/>
      </bottom>
      <diagonal/>
    </border>
    <border>
      <left style="medium">
        <color theme="2" tint="-0.499984740745262"/>
      </left>
      <right style="medium">
        <color theme="2" tint="-0.499984740745262"/>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theme="2" tint="-0.499984740745262"/>
      </left>
      <right style="medium">
        <color theme="2" tint="-0.499984740745262"/>
      </right>
      <top style="medium">
        <color theme="2" tint="-0.499984740745262"/>
      </top>
      <bottom/>
      <diagonal/>
    </border>
    <border>
      <left style="medium">
        <color theme="2" tint="-0.499984740745262"/>
      </left>
      <right style="medium">
        <color theme="2" tint="-0.499984740745262"/>
      </right>
      <top/>
      <bottom style="medium">
        <color indexed="64"/>
      </bottom>
      <diagonal/>
    </border>
    <border>
      <left style="medium">
        <color theme="2" tint="-0.499984740745262"/>
      </left>
      <right style="medium">
        <color theme="2" tint="-0.499984740745262"/>
      </right>
      <top/>
      <bottom style="medium">
        <color theme="2" tint="-0.499984740745262"/>
      </bottom>
      <diagonal/>
    </border>
    <border>
      <left style="thin">
        <color theme="8" tint="0.59996337778862885"/>
      </left>
      <right style="thin">
        <color theme="8" tint="0.59996337778862885"/>
      </right>
      <top style="thin">
        <color theme="8" tint="0.59996337778862885"/>
      </top>
      <bottom style="thin">
        <color theme="8" tint="0.59996337778862885"/>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s>
  <cellStyleXfs count="9">
    <xf numFmtId="0" fontId="0" fillId="0" borderId="0"/>
    <xf numFmtId="43" fontId="1" fillId="0" borderId="0" applyFont="0" applyFill="0" applyBorder="0" applyAlignment="0" applyProtection="0"/>
    <xf numFmtId="165" fontId="4" fillId="0" borderId="0" applyFont="0" applyFill="0" applyBorder="0" applyAlignment="0" applyProtection="0"/>
    <xf numFmtId="0" fontId="1" fillId="0" borderId="0"/>
    <xf numFmtId="0" fontId="3" fillId="0" borderId="0"/>
    <xf numFmtId="9" fontId="3"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cellStyleXfs>
  <cellXfs count="198">
    <xf numFmtId="0" fontId="0" fillId="0" borderId="0" xfId="0"/>
    <xf numFmtId="0" fontId="3" fillId="0" borderId="0" xfId="0" applyFont="1"/>
    <xf numFmtId="0" fontId="5" fillId="0" borderId="0" xfId="2" applyNumberFormat="1" applyFont="1" applyFill="1" applyBorder="1" applyAlignment="1" applyProtection="1">
      <alignment vertical="center"/>
      <protection locked="0"/>
    </xf>
    <xf numFmtId="0" fontId="5" fillId="0" borderId="0" xfId="2" applyNumberFormat="1" applyFont="1" applyFill="1" applyBorder="1" applyAlignment="1" applyProtection="1">
      <alignment horizontal="left" vertical="center" indent="1"/>
      <protection locked="0"/>
    </xf>
    <xf numFmtId="0" fontId="0" fillId="0" borderId="1" xfId="0" applyBorder="1"/>
    <xf numFmtId="0" fontId="2" fillId="0" borderId="11" xfId="3" applyFont="1" applyBorder="1"/>
    <xf numFmtId="0" fontId="1" fillId="0" borderId="2" xfId="3" applyBorder="1"/>
    <xf numFmtId="0" fontId="2" fillId="0" borderId="0" xfId="0" applyFont="1"/>
    <xf numFmtId="0" fontId="1" fillId="0" borderId="12" xfId="3" applyBorder="1"/>
    <xf numFmtId="0" fontId="1" fillId="0" borderId="11" xfId="3" applyBorder="1"/>
    <xf numFmtId="0" fontId="0" fillId="0" borderId="2" xfId="3" applyFont="1" applyBorder="1"/>
    <xf numFmtId="0" fontId="0" fillId="0" borderId="13" xfId="3" applyFont="1" applyBorder="1"/>
    <xf numFmtId="0" fontId="3" fillId="0" borderId="0" xfId="4"/>
    <xf numFmtId="0" fontId="3" fillId="0" borderId="1" xfId="4" applyBorder="1"/>
    <xf numFmtId="0" fontId="7" fillId="8" borderId="10" xfId="4" applyFont="1" applyFill="1" applyBorder="1" applyAlignment="1">
      <alignment horizontal="center" vertical="center" wrapText="1"/>
    </xf>
    <xf numFmtId="0" fontId="8" fillId="0" borderId="0" xfId="0" applyFont="1"/>
    <xf numFmtId="0" fontId="8" fillId="0" borderId="0" xfId="0" applyFont="1" applyAlignment="1">
      <alignment horizontal="center" vertical="center"/>
    </xf>
    <xf numFmtId="0" fontId="8" fillId="0" borderId="0" xfId="0" applyFont="1" applyAlignment="1">
      <alignment vertical="top" wrapText="1"/>
    </xf>
    <xf numFmtId="0" fontId="8" fillId="0" borderId="14" xfId="0" applyFont="1" applyBorder="1" applyAlignment="1">
      <alignment horizontal="left"/>
    </xf>
    <xf numFmtId="0" fontId="8" fillId="0" borderId="14" xfId="0" applyFont="1" applyBorder="1" applyAlignment="1">
      <alignment horizontal="center"/>
    </xf>
    <xf numFmtId="164" fontId="10" fillId="0" borderId="14" xfId="0" applyNumberFormat="1" applyFont="1" applyBorder="1" applyAlignment="1">
      <alignment horizontal="center" vertical="center"/>
    </xf>
    <xf numFmtId="0" fontId="10" fillId="0" borderId="0" xfId="0" applyFont="1"/>
    <xf numFmtId="0" fontId="0" fillId="2" borderId="0" xfId="0" applyFill="1"/>
    <xf numFmtId="0" fontId="2" fillId="7"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0" fillId="2" borderId="0" xfId="0" applyFill="1" applyAlignment="1">
      <alignment wrapText="1"/>
    </xf>
    <xf numFmtId="0" fontId="2" fillId="2" borderId="1" xfId="0" applyFont="1" applyFill="1" applyBorder="1" applyAlignment="1">
      <alignment horizontal="left" wrapText="1"/>
    </xf>
    <xf numFmtId="0" fontId="0" fillId="2" borderId="1" xfId="0" applyFill="1" applyBorder="1" applyAlignment="1">
      <alignment horizontal="left"/>
    </xf>
    <xf numFmtId="166" fontId="2" fillId="10" borderId="1" xfId="0" applyNumberFormat="1" applyFont="1" applyFill="1" applyBorder="1" applyAlignment="1">
      <alignment wrapText="1"/>
    </xf>
    <xf numFmtId="0" fontId="0" fillId="2" borderId="1" xfId="0" applyFill="1" applyBorder="1" applyAlignment="1">
      <alignment horizontal="left" wrapText="1"/>
    </xf>
    <xf numFmtId="3" fontId="0" fillId="2" borderId="1" xfId="0" applyNumberFormat="1" applyFill="1" applyBorder="1" applyAlignment="1">
      <alignment wrapText="1"/>
    </xf>
    <xf numFmtId="0" fontId="0" fillId="2" borderId="1" xfId="0" applyFill="1" applyBorder="1" applyAlignment="1">
      <alignment wrapText="1"/>
    </xf>
    <xf numFmtId="0" fontId="0" fillId="2" borderId="1" xfId="0" applyFill="1" applyBorder="1" applyAlignment="1">
      <alignment horizontal="left" vertical="center" wrapText="1"/>
    </xf>
    <xf numFmtId="0" fontId="0" fillId="2" borderId="1" xfId="0" applyFill="1" applyBorder="1" applyAlignment="1">
      <alignment horizontal="left" vertical="center"/>
    </xf>
    <xf numFmtId="166" fontId="2" fillId="10" borderId="1" xfId="1" applyNumberFormat="1" applyFont="1" applyFill="1" applyBorder="1" applyAlignment="1">
      <alignment vertical="center"/>
    </xf>
    <xf numFmtId="166" fontId="12" fillId="2" borderId="1" xfId="1" applyNumberFormat="1" applyFont="1" applyFill="1" applyBorder="1" applyAlignment="1">
      <alignment vertical="center" wrapText="1"/>
    </xf>
    <xf numFmtId="166" fontId="0" fillId="10" borderId="1" xfId="1" applyNumberFormat="1" applyFont="1" applyFill="1" applyBorder="1" applyAlignment="1">
      <alignment vertical="center" wrapText="1"/>
    </xf>
    <xf numFmtId="0" fontId="0" fillId="7" borderId="1" xfId="0" applyFill="1" applyBorder="1" applyAlignment="1">
      <alignment vertical="center"/>
    </xf>
    <xf numFmtId="0" fontId="0" fillId="7" borderId="0" xfId="0" applyFill="1" applyAlignment="1">
      <alignment vertical="center"/>
    </xf>
    <xf numFmtId="0" fontId="0" fillId="2" borderId="1" xfId="0" applyFill="1" applyBorder="1" applyAlignment="1">
      <alignment vertical="center" wrapText="1"/>
    </xf>
    <xf numFmtId="0" fontId="0" fillId="2" borderId="1" xfId="0" applyFill="1" applyBorder="1" applyAlignment="1">
      <alignment vertical="center"/>
    </xf>
    <xf numFmtId="0" fontId="0" fillId="2" borderId="0" xfId="0" applyFill="1" applyAlignment="1">
      <alignment vertical="center"/>
    </xf>
    <xf numFmtId="3" fontId="0" fillId="2" borderId="1" xfId="0" applyNumberFormat="1" applyFill="1" applyBorder="1" applyAlignment="1">
      <alignment vertical="center" wrapText="1"/>
    </xf>
    <xf numFmtId="0" fontId="0" fillId="2" borderId="3" xfId="0" applyFill="1" applyBorder="1" applyAlignment="1">
      <alignment horizontal="left" vertical="center" wrapText="1"/>
    </xf>
    <xf numFmtId="166" fontId="1" fillId="2" borderId="1" xfId="1" applyNumberFormat="1" applyFont="1" applyFill="1" applyBorder="1" applyAlignment="1">
      <alignment vertical="center" wrapText="1"/>
    </xf>
    <xf numFmtId="9" fontId="13" fillId="10" borderId="1" xfId="0" applyNumberFormat="1" applyFont="1" applyFill="1" applyBorder="1" applyAlignment="1">
      <alignment vertical="center"/>
    </xf>
    <xf numFmtId="9" fontId="12" fillId="2" borderId="1" xfId="0" applyNumberFormat="1" applyFont="1" applyFill="1" applyBorder="1" applyAlignment="1">
      <alignment vertical="center" wrapText="1"/>
    </xf>
    <xf numFmtId="9" fontId="12" fillId="10" borderId="1" xfId="0" applyNumberFormat="1" applyFont="1" applyFill="1" applyBorder="1" applyAlignment="1">
      <alignment vertical="center" wrapText="1"/>
    </xf>
    <xf numFmtId="0" fontId="0" fillId="2" borderId="0" xfId="0" applyFill="1" applyAlignment="1">
      <alignment horizontal="left"/>
    </xf>
    <xf numFmtId="0" fontId="0" fillId="10" borderId="0" xfId="0" applyFill="1"/>
    <xf numFmtId="0" fontId="0" fillId="2" borderId="0" xfId="0" applyFill="1" applyAlignment="1">
      <alignment horizontal="left" wrapText="1"/>
    </xf>
    <xf numFmtId="166" fontId="0" fillId="2" borderId="1" xfId="1" applyNumberFormat="1" applyFont="1" applyFill="1" applyBorder="1" applyAlignment="1">
      <alignment vertical="center" wrapText="1"/>
    </xf>
    <xf numFmtId="166" fontId="0" fillId="2" borderId="0" xfId="0" applyNumberFormat="1" applyFill="1"/>
    <xf numFmtId="3" fontId="0" fillId="0" borderId="0" xfId="0" applyNumberFormat="1"/>
    <xf numFmtId="0" fontId="6" fillId="0" borderId="0" xfId="0" applyFont="1" applyAlignment="1">
      <alignment vertical="center"/>
    </xf>
    <xf numFmtId="0" fontId="0" fillId="0" borderId="1" xfId="0" applyBorder="1" applyAlignment="1">
      <alignment horizontal="left" vertical="top"/>
    </xf>
    <xf numFmtId="43" fontId="0" fillId="0" borderId="0" xfId="1" applyFont="1"/>
    <xf numFmtId="0" fontId="0" fillId="0" borderId="0" xfId="0" applyAlignment="1">
      <alignment horizontal="right"/>
    </xf>
    <xf numFmtId="0" fontId="2" fillId="0" borderId="1" xfId="0" applyFont="1" applyBorder="1" applyAlignment="1">
      <alignment horizontal="center"/>
    </xf>
    <xf numFmtId="0" fontId="2" fillId="0" borderId="7" xfId="0" applyFont="1" applyBorder="1" applyAlignment="1">
      <alignment horizontal="center"/>
    </xf>
    <xf numFmtId="0" fontId="12" fillId="0" borderId="1" xfId="0" applyFont="1" applyBorder="1"/>
    <xf numFmtId="0" fontId="12" fillId="0" borderId="1" xfId="0" applyFont="1" applyBorder="1" applyAlignment="1">
      <alignment horizontal="left" vertical="top"/>
    </xf>
    <xf numFmtId="0" fontId="13" fillId="2" borderId="0" xfId="0" applyFont="1" applyFill="1" applyAlignment="1">
      <alignment horizontal="center" vertical="center" wrapText="1"/>
    </xf>
    <xf numFmtId="166" fontId="13" fillId="2" borderId="0" xfId="0" applyNumberFormat="1" applyFont="1" applyFill="1" applyAlignment="1">
      <alignment wrapText="1"/>
    </xf>
    <xf numFmtId="166" fontId="13" fillId="2" borderId="0" xfId="1" applyNumberFormat="1" applyFont="1" applyFill="1" applyBorder="1" applyAlignment="1">
      <alignment vertical="center"/>
    </xf>
    <xf numFmtId="9" fontId="13" fillId="2" borderId="0" xfId="0" applyNumberFormat="1" applyFont="1" applyFill="1" applyAlignment="1">
      <alignment vertical="center"/>
    </xf>
    <xf numFmtId="0" fontId="12" fillId="2" borderId="0" xfId="0" applyFont="1" applyFill="1"/>
    <xf numFmtId="0" fontId="0" fillId="0" borderId="0" xfId="0" applyAlignment="1">
      <alignment horizontal="center"/>
    </xf>
    <xf numFmtId="0" fontId="16" fillId="0" borderId="0" xfId="0" applyFont="1" applyAlignment="1">
      <alignment vertic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11" borderId="1" xfId="0" applyFill="1" applyBorder="1" applyAlignment="1">
      <alignment horizontal="center" vertical="center"/>
    </xf>
    <xf numFmtId="0" fontId="0" fillId="0" borderId="1" xfId="0" applyBorder="1" applyAlignment="1">
      <alignment horizontal="center" vertical="center" wrapText="1"/>
    </xf>
    <xf numFmtId="9" fontId="0" fillId="0" borderId="1" xfId="0" applyNumberFormat="1" applyBorder="1" applyAlignment="1">
      <alignment horizontal="center" vertical="center"/>
    </xf>
    <xf numFmtId="9" fontId="0" fillId="0" borderId="1" xfId="0" applyNumberFormat="1" applyBorder="1" applyAlignment="1">
      <alignment horizontal="center" vertical="center" wrapText="1"/>
    </xf>
    <xf numFmtId="0" fontId="11" fillId="6" borderId="1" xfId="0" applyFont="1" applyFill="1" applyBorder="1" applyAlignment="1">
      <alignment horizontal="center" vertical="center" wrapText="1"/>
    </xf>
    <xf numFmtId="0" fontId="11" fillId="0" borderId="1" xfId="0" applyFont="1" applyBorder="1" applyAlignment="1">
      <alignment horizontal="center" vertical="center"/>
    </xf>
    <xf numFmtId="0" fontId="0" fillId="13" borderId="1" xfId="0" applyFill="1" applyBorder="1" applyAlignment="1">
      <alignment horizontal="center" vertical="center"/>
    </xf>
    <xf numFmtId="9" fontId="0" fillId="6" borderId="1" xfId="0" applyNumberFormat="1" applyFill="1" applyBorder="1" applyAlignment="1">
      <alignment horizontal="center" vertical="center"/>
    </xf>
    <xf numFmtId="0" fontId="0" fillId="6" borderId="0" xfId="0" applyFill="1" applyAlignment="1">
      <alignment horizontal="center" vertical="center"/>
    </xf>
    <xf numFmtId="0" fontId="0" fillId="9" borderId="1" xfId="0" applyFill="1" applyBorder="1" applyAlignment="1">
      <alignment horizontal="center" vertical="center"/>
    </xf>
    <xf numFmtId="0" fontId="0" fillId="14" borderId="1" xfId="0" applyFill="1" applyBorder="1" applyAlignment="1">
      <alignment horizontal="center" vertical="center"/>
    </xf>
    <xf numFmtId="9" fontId="0" fillId="15" borderId="1" xfId="0" applyNumberFormat="1" applyFill="1" applyBorder="1" applyAlignment="1">
      <alignment horizontal="center" vertical="center"/>
    </xf>
    <xf numFmtId="0" fontId="0" fillId="13" borderId="0" xfId="0" applyFill="1" applyAlignment="1">
      <alignment horizontal="center" vertical="center"/>
    </xf>
    <xf numFmtId="0" fontId="0" fillId="15" borderId="1" xfId="0" applyFill="1" applyBorder="1" applyAlignment="1">
      <alignment horizontal="center" vertical="center"/>
    </xf>
    <xf numFmtId="0" fontId="0" fillId="15" borderId="0" xfId="0" applyFill="1" applyAlignment="1">
      <alignment horizontal="center" vertical="center"/>
    </xf>
    <xf numFmtId="9" fontId="0" fillId="11" borderId="1" xfId="0" applyNumberFormat="1" applyFill="1" applyBorder="1" applyAlignment="1">
      <alignment horizontal="center" vertical="center"/>
    </xf>
    <xf numFmtId="0" fontId="0" fillId="11" borderId="0" xfId="0" applyFill="1" applyAlignment="1">
      <alignment horizontal="center" vertical="center"/>
    </xf>
    <xf numFmtId="0" fontId="11" fillId="6" borderId="1" xfId="0" applyFont="1" applyFill="1" applyBorder="1" applyAlignment="1">
      <alignment horizontal="center" vertical="center"/>
    </xf>
    <xf numFmtId="0" fontId="0" fillId="11" borderId="1" xfId="0" applyFill="1" applyBorder="1" applyAlignment="1">
      <alignment horizontal="center" vertical="center" wrapText="1"/>
    </xf>
    <xf numFmtId="0" fontId="11" fillId="0" borderId="0" xfId="0" applyFont="1" applyAlignment="1">
      <alignment horizontal="center" vertical="center"/>
    </xf>
    <xf numFmtId="0" fontId="0" fillId="0" borderId="0" xfId="0" applyAlignment="1">
      <alignment horizontal="center" vertical="center" wrapText="1"/>
    </xf>
    <xf numFmtId="9" fontId="0" fillId="0" borderId="0" xfId="0" applyNumberFormat="1" applyAlignment="1">
      <alignment horizontal="center" vertical="center"/>
    </xf>
    <xf numFmtId="9" fontId="0" fillId="0" borderId="0" xfId="0" applyNumberFormat="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xf>
    <xf numFmtId="9" fontId="0" fillId="0" borderId="1" xfId="0" applyNumberFormat="1" applyBorder="1" applyAlignment="1">
      <alignment horizontal="center"/>
    </xf>
    <xf numFmtId="0" fontId="14" fillId="16" borderId="26" xfId="3" applyFont="1" applyFill="1" applyBorder="1"/>
    <xf numFmtId="0" fontId="0" fillId="0" borderId="27" xfId="3" applyFont="1" applyBorder="1"/>
    <xf numFmtId="0" fontId="1" fillId="0" borderId="27" xfId="3" applyBorder="1"/>
    <xf numFmtId="0" fontId="1" fillId="0" borderId="28" xfId="3" applyBorder="1"/>
    <xf numFmtId="0" fontId="14" fillId="16" borderId="16" xfId="0" applyFont="1" applyFill="1" applyBorder="1" applyAlignment="1">
      <alignment horizontal="center"/>
    </xf>
    <xf numFmtId="0" fontId="2" fillId="0" borderId="19" xfId="0" applyFont="1" applyBorder="1" applyAlignment="1">
      <alignment horizontal="center"/>
    </xf>
    <xf numFmtId="0" fontId="2" fillId="9" borderId="20" xfId="0" applyFont="1" applyFill="1" applyBorder="1" applyAlignment="1">
      <alignment horizontal="center" vertical="center"/>
    </xf>
    <xf numFmtId="0" fontId="2" fillId="9" borderId="9" xfId="0" applyFont="1" applyFill="1" applyBorder="1" applyAlignment="1">
      <alignment horizontal="center" vertical="center"/>
    </xf>
    <xf numFmtId="0" fontId="0" fillId="0" borderId="1" xfId="0" applyBorder="1" applyAlignment="1">
      <alignment horizontal="left" vertical="center" wrapText="1"/>
    </xf>
    <xf numFmtId="9" fontId="0" fillId="0" borderId="21" xfId="0" applyNumberFormat="1" applyBorder="1" applyAlignment="1">
      <alignment horizontal="center" vertical="center"/>
    </xf>
    <xf numFmtId="0" fontId="2" fillId="17" borderId="20" xfId="0" applyFont="1" applyFill="1" applyBorder="1" applyAlignment="1">
      <alignment horizontal="center" vertical="center"/>
    </xf>
    <xf numFmtId="0" fontId="2" fillId="17" borderId="9" xfId="0" applyFont="1" applyFill="1" applyBorder="1" applyAlignment="1">
      <alignment horizontal="center" vertical="center"/>
    </xf>
    <xf numFmtId="0" fontId="2" fillId="5" borderId="20" xfId="0" applyFont="1" applyFill="1" applyBorder="1" applyAlignment="1">
      <alignment horizontal="center" vertical="center"/>
    </xf>
    <xf numFmtId="0" fontId="2" fillId="5" borderId="9" xfId="0" applyFont="1" applyFill="1" applyBorder="1" applyAlignment="1">
      <alignment horizontal="center" vertical="center"/>
    </xf>
    <xf numFmtId="0" fontId="2" fillId="14" borderId="20" xfId="0" applyFont="1" applyFill="1" applyBorder="1" applyAlignment="1">
      <alignment horizontal="center" vertical="center"/>
    </xf>
    <xf numFmtId="0" fontId="2" fillId="14" borderId="9" xfId="0" applyFont="1" applyFill="1" applyBorder="1" applyAlignment="1">
      <alignment horizontal="center" vertical="center" wrapText="1"/>
    </xf>
    <xf numFmtId="0" fontId="2" fillId="6" borderId="30" xfId="0" applyFont="1" applyFill="1" applyBorder="1" applyAlignment="1">
      <alignment horizontal="center" vertical="center"/>
    </xf>
    <xf numFmtId="0" fontId="2" fillId="6" borderId="31" xfId="0" applyFont="1" applyFill="1" applyBorder="1" applyAlignment="1">
      <alignment horizontal="center" vertical="center"/>
    </xf>
    <xf numFmtId="0" fontId="0" fillId="0" borderId="10" xfId="0" applyBorder="1" applyAlignment="1">
      <alignment horizontal="left" vertical="center" wrapText="1"/>
    </xf>
    <xf numFmtId="9" fontId="0" fillId="0" borderId="32" xfId="0" applyNumberFormat="1" applyBorder="1" applyAlignment="1">
      <alignment horizontal="center" vertical="center"/>
    </xf>
    <xf numFmtId="0" fontId="2" fillId="9" borderId="9" xfId="0" applyFont="1" applyFill="1" applyBorder="1" applyAlignment="1">
      <alignment horizontal="left" vertical="center"/>
    </xf>
    <xf numFmtId="0" fontId="2" fillId="17" borderId="9" xfId="0" applyFont="1" applyFill="1" applyBorder="1" applyAlignment="1">
      <alignment horizontal="left" vertical="center"/>
    </xf>
    <xf numFmtId="0" fontId="2" fillId="5" borderId="9" xfId="0" applyFont="1" applyFill="1" applyBorder="1" applyAlignment="1">
      <alignment horizontal="left" vertical="center"/>
    </xf>
    <xf numFmtId="0" fontId="2" fillId="14" borderId="9" xfId="0" applyFont="1" applyFill="1" applyBorder="1" applyAlignment="1">
      <alignment horizontal="left" vertical="center" wrapText="1"/>
    </xf>
    <xf numFmtId="0" fontId="2" fillId="6" borderId="31" xfId="0" applyFont="1" applyFill="1" applyBorder="1" applyAlignment="1">
      <alignment horizontal="left" vertical="center"/>
    </xf>
    <xf numFmtId="0" fontId="14" fillId="16" borderId="0" xfId="0" applyFont="1" applyFill="1"/>
    <xf numFmtId="0" fontId="2" fillId="6" borderId="22" xfId="0" applyFont="1" applyFill="1" applyBorder="1" applyAlignment="1">
      <alignment horizontal="center" vertical="center"/>
    </xf>
    <xf numFmtId="0" fontId="14" fillId="12" borderId="0" xfId="0" applyFont="1" applyFill="1"/>
    <xf numFmtId="3" fontId="19" fillId="0" borderId="1" xfId="0" applyNumberFormat="1" applyFont="1" applyBorder="1" applyAlignment="1">
      <alignment horizontal="left"/>
    </xf>
    <xf numFmtId="3" fontId="20" fillId="0" borderId="1" xfId="0" applyNumberFormat="1" applyFont="1" applyBorder="1" applyAlignment="1">
      <alignment horizontal="left"/>
    </xf>
    <xf numFmtId="0" fontId="20" fillId="0" borderId="1" xfId="0" applyFont="1" applyBorder="1" applyAlignment="1">
      <alignment horizontal="left"/>
    </xf>
    <xf numFmtId="3" fontId="20" fillId="0" borderId="23" xfId="0" applyNumberFormat="1" applyFont="1" applyBorder="1" applyAlignment="1">
      <alignment horizontal="left"/>
    </xf>
    <xf numFmtId="9" fontId="19" fillId="0" borderId="1" xfId="7" applyFont="1" applyBorder="1" applyAlignment="1">
      <alignment horizontal="left"/>
    </xf>
    <xf numFmtId="3" fontId="20" fillId="0" borderId="18" xfId="0" applyNumberFormat="1" applyFont="1" applyBorder="1" applyAlignment="1">
      <alignment horizontal="left"/>
    </xf>
    <xf numFmtId="0" fontId="20" fillId="0" borderId="18" xfId="0" applyFont="1" applyBorder="1" applyAlignment="1">
      <alignment horizontal="left" vertical="center" wrapText="1"/>
    </xf>
    <xf numFmtId="3" fontId="20" fillId="18" borderId="18" xfId="0" applyNumberFormat="1" applyFont="1" applyFill="1" applyBorder="1" applyAlignment="1">
      <alignment horizontal="left"/>
    </xf>
    <xf numFmtId="3" fontId="21" fillId="19" borderId="19" xfId="0" applyNumberFormat="1" applyFont="1" applyFill="1" applyBorder="1" applyAlignment="1">
      <alignment horizontal="left"/>
    </xf>
    <xf numFmtId="0" fontId="20" fillId="0" borderId="1" xfId="0" applyFont="1" applyBorder="1" applyAlignment="1">
      <alignment wrapText="1"/>
    </xf>
    <xf numFmtId="0" fontId="20" fillId="18" borderId="1" xfId="0" applyFont="1" applyFill="1" applyBorder="1" applyAlignment="1">
      <alignment horizontal="left"/>
    </xf>
    <xf numFmtId="0" fontId="21" fillId="19" borderId="21" xfId="0" applyFont="1" applyFill="1" applyBorder="1" applyAlignment="1">
      <alignment horizontal="left"/>
    </xf>
    <xf numFmtId="3" fontId="20" fillId="18" borderId="1" xfId="0" applyNumberFormat="1" applyFont="1" applyFill="1" applyBorder="1" applyAlignment="1">
      <alignment horizontal="left"/>
    </xf>
    <xf numFmtId="3" fontId="21" fillId="19" borderId="21" xfId="0" applyNumberFormat="1" applyFont="1" applyFill="1" applyBorder="1" applyAlignment="1">
      <alignment horizontal="left"/>
    </xf>
    <xf numFmtId="0" fontId="20" fillId="0" borderId="23" xfId="0" applyFont="1" applyBorder="1" applyAlignment="1">
      <alignment wrapText="1"/>
    </xf>
    <xf numFmtId="9" fontId="20" fillId="18" borderId="23" xfId="0" applyNumberFormat="1" applyFont="1" applyFill="1" applyBorder="1" applyAlignment="1">
      <alignment horizontal="left"/>
    </xf>
    <xf numFmtId="0" fontId="21" fillId="19" borderId="24" xfId="0" applyFont="1" applyFill="1" applyBorder="1" applyAlignment="1">
      <alignment horizontal="left"/>
    </xf>
    <xf numFmtId="0" fontId="21" fillId="20" borderId="36" xfId="0" applyFont="1" applyFill="1" applyBorder="1" applyAlignment="1">
      <alignment vertical="center" wrapText="1"/>
    </xf>
    <xf numFmtId="0" fontId="21" fillId="20" borderId="37" xfId="0" applyFont="1" applyFill="1" applyBorder="1" applyAlignment="1">
      <alignment horizontal="center" vertical="center" wrapText="1"/>
    </xf>
    <xf numFmtId="0" fontId="21" fillId="20" borderId="37" xfId="0" applyFont="1" applyFill="1" applyBorder="1" applyAlignment="1">
      <alignment horizontal="left" vertical="center" wrapText="1"/>
    </xf>
    <xf numFmtId="0" fontId="21" fillId="20" borderId="38" xfId="0" applyFont="1" applyFill="1" applyBorder="1" applyAlignment="1">
      <alignment horizontal="center" vertical="center" wrapText="1"/>
    </xf>
    <xf numFmtId="3" fontId="20" fillId="21" borderId="18" xfId="0" applyNumberFormat="1" applyFont="1" applyFill="1" applyBorder="1" applyAlignment="1">
      <alignment horizontal="left"/>
    </xf>
    <xf numFmtId="0" fontId="23" fillId="0" borderId="0" xfId="0" applyFont="1" applyAlignment="1">
      <alignment horizontal="center" vertical="center" wrapText="1"/>
    </xf>
    <xf numFmtId="0" fontId="25" fillId="0" borderId="0" xfId="0" applyFont="1" applyAlignment="1">
      <alignment vertical="center"/>
    </xf>
    <xf numFmtId="0" fontId="26" fillId="0" borderId="0" xfId="0" applyFont="1"/>
    <xf numFmtId="0" fontId="3" fillId="0" borderId="0" xfId="0" applyFont="1" applyAlignment="1">
      <alignment horizontal="center"/>
    </xf>
    <xf numFmtId="0" fontId="27" fillId="3" borderId="0" xfId="0" applyFont="1" applyFill="1" applyAlignment="1">
      <alignment horizontal="center" vertical="center" wrapText="1"/>
    </xf>
    <xf numFmtId="0" fontId="28" fillId="0" borderId="0" xfId="0" applyFont="1" applyAlignment="1">
      <alignment vertical="center" wrapText="1"/>
    </xf>
    <xf numFmtId="0" fontId="5" fillId="2" borderId="0" xfId="2" applyNumberFormat="1" applyFont="1" applyFill="1" applyBorder="1" applyAlignment="1" applyProtection="1">
      <alignment vertical="center"/>
      <protection locked="0"/>
    </xf>
    <xf numFmtId="0" fontId="8" fillId="0" borderId="0" xfId="0" applyFont="1" applyAlignment="1">
      <alignment vertical="center" wrapText="1"/>
    </xf>
    <xf numFmtId="0" fontId="8" fillId="0" borderId="14" xfId="0" applyFont="1" applyBorder="1" applyAlignment="1">
      <alignment horizontal="left" vertical="center" wrapText="1"/>
    </xf>
    <xf numFmtId="0" fontId="8" fillId="2" borderId="0" xfId="0" applyFont="1" applyFill="1"/>
    <xf numFmtId="0" fontId="30" fillId="2" borderId="15" xfId="0" applyFont="1" applyFill="1" applyBorder="1" applyAlignment="1">
      <alignment horizontal="left" vertical="center" wrapText="1"/>
    </xf>
    <xf numFmtId="0" fontId="29" fillId="2" borderId="0" xfId="0" applyFont="1" applyFill="1" applyAlignment="1">
      <alignment horizontal="left"/>
    </xf>
    <xf numFmtId="0" fontId="30" fillId="2" borderId="6" xfId="0" applyFont="1" applyFill="1" applyBorder="1" applyAlignment="1">
      <alignment horizontal="left" vertical="center" wrapText="1"/>
    </xf>
    <xf numFmtId="0" fontId="30" fillId="2" borderId="25" xfId="0" applyFont="1" applyFill="1" applyBorder="1" applyAlignment="1">
      <alignment horizontal="left" vertical="center" wrapText="1"/>
    </xf>
    <xf numFmtId="0" fontId="30" fillId="2" borderId="39" xfId="0" applyFont="1" applyFill="1" applyBorder="1" applyAlignment="1">
      <alignment horizontal="left" vertical="center" wrapText="1"/>
    </xf>
    <xf numFmtId="0" fontId="29" fillId="0" borderId="0" xfId="0" applyFont="1" applyAlignment="1">
      <alignment horizontal="left"/>
    </xf>
    <xf numFmtId="1" fontId="30" fillId="2" borderId="15" xfId="0" applyNumberFormat="1" applyFont="1" applyFill="1" applyBorder="1" applyAlignment="1">
      <alignment horizontal="left" vertical="center"/>
    </xf>
    <xf numFmtId="0" fontId="29" fillId="2" borderId="39" xfId="0" applyFont="1" applyFill="1" applyBorder="1" applyAlignment="1">
      <alignment horizontal="left" vertical="center"/>
    </xf>
    <xf numFmtId="0" fontId="28" fillId="2" borderId="6" xfId="0" applyFont="1" applyFill="1" applyBorder="1" applyAlignment="1">
      <alignment horizontal="left" vertical="center" wrapText="1"/>
    </xf>
    <xf numFmtId="0" fontId="28" fillId="2" borderId="39" xfId="0" applyFont="1" applyFill="1" applyBorder="1" applyAlignment="1">
      <alignment horizontal="left" vertical="center" wrapText="1"/>
    </xf>
    <xf numFmtId="0" fontId="23" fillId="5"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30" fillId="0" borderId="6" xfId="0" applyFont="1" applyBorder="1" applyAlignment="1">
      <alignment horizontal="center" vertical="center" wrapText="1"/>
    </xf>
    <xf numFmtId="0" fontId="30" fillId="0" borderId="15" xfId="0" applyFont="1" applyBorder="1" applyAlignment="1">
      <alignment horizontal="center" vertical="center" wrapText="1"/>
    </xf>
    <xf numFmtId="0" fontId="30" fillId="0" borderId="25" xfId="0" applyFont="1" applyBorder="1" applyAlignment="1">
      <alignment horizontal="center" vertical="center" wrapText="1"/>
    </xf>
    <xf numFmtId="0" fontId="30" fillId="0" borderId="40" xfId="0" applyFont="1" applyBorder="1" applyAlignment="1">
      <alignment horizontal="center" vertical="center" wrapText="1"/>
    </xf>
    <xf numFmtId="0" fontId="30" fillId="0" borderId="39" xfId="0" applyFont="1" applyBorder="1" applyAlignment="1">
      <alignment horizontal="center" vertical="center" wrapText="1"/>
    </xf>
    <xf numFmtId="0" fontId="2" fillId="0" borderId="1" xfId="0" applyFont="1" applyBorder="1" applyAlignment="1">
      <alignment horizontal="center" vertical="center"/>
    </xf>
    <xf numFmtId="0" fontId="17"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10" xfId="0" applyFont="1" applyBorder="1" applyAlignment="1">
      <alignment horizontal="center" vertical="center"/>
    </xf>
    <xf numFmtId="0" fontId="2" fillId="0" borderId="25" xfId="0" applyFont="1" applyBorder="1" applyAlignment="1">
      <alignment horizontal="center" vertical="center"/>
    </xf>
    <xf numFmtId="0" fontId="2" fillId="0" borderId="29" xfId="0" applyFont="1" applyBorder="1" applyAlignment="1">
      <alignment horizontal="center"/>
    </xf>
    <xf numFmtId="0" fontId="2" fillId="0" borderId="17" xfId="0"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0" fillId="0" borderId="0" xfId="0" applyAlignment="1">
      <alignment horizontal="center"/>
    </xf>
    <xf numFmtId="0" fontId="15" fillId="0" borderId="1" xfId="0" applyFont="1" applyBorder="1" applyAlignment="1">
      <alignment horizontal="center" vertical="center" textRotation="90"/>
    </xf>
    <xf numFmtId="0" fontId="2" fillId="4" borderId="4"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1" fillId="0" borderId="33" xfId="0" applyFont="1" applyBorder="1" applyAlignment="1">
      <alignment horizontal="center" vertical="center" wrapText="1"/>
    </xf>
    <xf numFmtId="0" fontId="21" fillId="0" borderId="34" xfId="0" applyFont="1" applyBorder="1" applyAlignment="1">
      <alignment horizontal="center" vertical="center" wrapText="1"/>
    </xf>
    <xf numFmtId="0" fontId="21" fillId="0" borderId="35" xfId="0" applyFont="1" applyBorder="1" applyAlignment="1">
      <alignment horizontal="center" vertical="center" wrapText="1"/>
    </xf>
    <xf numFmtId="0" fontId="8" fillId="0" borderId="0" xfId="0" applyFont="1" applyAlignment="1">
      <alignment vertical="top" wrapText="1"/>
    </xf>
    <xf numFmtId="0" fontId="8" fillId="0" borderId="0" xfId="0" applyFont="1" applyAlignment="1">
      <alignment vertical="center" wrapText="1"/>
    </xf>
    <xf numFmtId="0" fontId="8" fillId="0" borderId="0" xfId="0" applyFont="1" applyAlignment="1">
      <alignment horizontal="center"/>
    </xf>
    <xf numFmtId="0" fontId="22" fillId="10" borderId="5" xfId="0" applyFont="1" applyFill="1" applyBorder="1" applyAlignment="1">
      <alignment horizontal="center" vertical="center" wrapText="1"/>
    </xf>
    <xf numFmtId="0" fontId="29" fillId="2" borderId="39" xfId="0" applyFont="1" applyFill="1" applyBorder="1" applyAlignment="1">
      <alignment horizontal="left" vertical="center" wrapText="1"/>
    </xf>
  </cellXfs>
  <cellStyles count="9">
    <cellStyle name="Comma" xfId="2" xr:uid="{3E1C4B57-9D6E-4F93-A8E7-E7B20D1E74A6}"/>
    <cellStyle name="Millares" xfId="1" builtinId="3"/>
    <cellStyle name="Millares 2" xfId="6" xr:uid="{15223232-1AD5-4240-986A-8FB2A95FBDE2}"/>
    <cellStyle name="Normal" xfId="0" builtinId="0"/>
    <cellStyle name="Normal 2" xfId="3" xr:uid="{F5245F9B-ECCE-4163-8349-EF93FD3B4122}"/>
    <cellStyle name="Normal 2 2 2" xfId="8" xr:uid="{805245E8-D835-4CCF-B87F-7CE6CFC1C29F}"/>
    <cellStyle name="Normal 3" xfId="4" xr:uid="{27FB2262-4665-4C71-BCB3-1B0020CAA229}"/>
    <cellStyle name="Porcentaje" xfId="7" builtinId="5"/>
    <cellStyle name="Porcentaje 2" xfId="5" xr:uid="{93A36996-BD05-4B87-B57D-78DDE417FFB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1079499</xdr:colOff>
      <xdr:row>47</xdr:row>
      <xdr:rowOff>9071</xdr:rowOff>
    </xdr:from>
    <xdr:to>
      <xdr:col>5</xdr:col>
      <xdr:colOff>1196838</xdr:colOff>
      <xdr:row>60</xdr:row>
      <xdr:rowOff>168119</xdr:rowOff>
    </xdr:to>
    <xdr:pic>
      <xdr:nvPicPr>
        <xdr:cNvPr id="2" name="Imagen 1">
          <a:extLst>
            <a:ext uri="{FF2B5EF4-FFF2-40B4-BE49-F238E27FC236}">
              <a16:creationId xmlns:a16="http://schemas.microsoft.com/office/drawing/2014/main" id="{A8759FE9-094F-4CFC-A2C7-2B066F642154}"/>
            </a:ext>
            <a:ext uri="{147F2762-F138-4A5C-976F-8EAC2B608ADB}">
              <a16:predDERef xmlns:a16="http://schemas.microsoft.com/office/drawing/2014/main" pred="{0C49CEED-E245-68D1-C12B-B77321C5CE53}"/>
            </a:ext>
          </a:extLst>
        </xdr:cNvPr>
        <xdr:cNvPicPr>
          <a:picLocks noChangeAspect="1"/>
        </xdr:cNvPicPr>
      </xdr:nvPicPr>
      <xdr:blipFill>
        <a:blip xmlns:r="http://schemas.openxmlformats.org/officeDocument/2006/relationships" r:embed="rId1"/>
        <a:stretch>
          <a:fillRect/>
        </a:stretch>
      </xdr:blipFill>
      <xdr:spPr>
        <a:xfrm>
          <a:off x="2004785" y="14986000"/>
          <a:ext cx="5551124" cy="2526690"/>
        </a:xfrm>
        <a:prstGeom prst="rect">
          <a:avLst/>
        </a:prstGeom>
      </xdr:spPr>
    </xdr:pic>
    <xdr:clientData/>
  </xdr:twoCellAnchor>
  <xdr:twoCellAnchor editAs="oneCell">
    <xdr:from>
      <xdr:col>1</xdr:col>
      <xdr:colOff>1279071</xdr:colOff>
      <xdr:row>63</xdr:row>
      <xdr:rowOff>136072</xdr:rowOff>
    </xdr:from>
    <xdr:to>
      <xdr:col>5</xdr:col>
      <xdr:colOff>1778303</xdr:colOff>
      <xdr:row>80</xdr:row>
      <xdr:rowOff>158449</xdr:rowOff>
    </xdr:to>
    <xdr:pic>
      <xdr:nvPicPr>
        <xdr:cNvPr id="3" name="Imagen 2">
          <a:extLst>
            <a:ext uri="{FF2B5EF4-FFF2-40B4-BE49-F238E27FC236}">
              <a16:creationId xmlns:a16="http://schemas.microsoft.com/office/drawing/2014/main" id="{BC3995DB-07A6-4F89-939B-1644D97F52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204357" y="18024929"/>
          <a:ext cx="5933017" cy="31157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E069B-CF59-4497-A662-696AA6B25863}">
  <sheetPr>
    <tabColor theme="4" tint="0.59999389629810485"/>
  </sheetPr>
  <dimension ref="A1:U373"/>
  <sheetViews>
    <sheetView showGridLines="0" tabSelected="1" zoomScaleNormal="100" workbookViewId="0">
      <pane ySplit="2" topLeftCell="A3" activePane="bottomLeft" state="frozen"/>
      <selection pane="bottomLeft"/>
    </sheetView>
  </sheetViews>
  <sheetFormatPr baseColWidth="10" defaultColWidth="9.140625" defaultRowHeight="15.75" x14ac:dyDescent="0.3"/>
  <cols>
    <col min="1" max="1" width="38" style="154" customWidth="1"/>
    <col min="2" max="2" width="9.140625" style="15" customWidth="1"/>
    <col min="3" max="3" width="13" style="15" customWidth="1"/>
    <col min="4" max="15" width="12.140625" style="21" customWidth="1"/>
    <col min="16" max="16384" width="9.140625" style="15"/>
  </cols>
  <sheetData>
    <row r="1" spans="1:21" s="149" customFormat="1" ht="18.75" customHeight="1" x14ac:dyDescent="0.3">
      <c r="B1" s="196" t="s">
        <v>420</v>
      </c>
      <c r="C1" s="196"/>
      <c r="D1" s="196"/>
      <c r="E1" s="196"/>
      <c r="F1" s="196"/>
      <c r="G1" s="196"/>
      <c r="H1" s="196"/>
      <c r="I1" s="196"/>
      <c r="J1" s="196"/>
      <c r="K1" s="196"/>
      <c r="L1" s="196"/>
      <c r="M1" s="196"/>
      <c r="N1" s="196"/>
      <c r="O1" s="196"/>
      <c r="P1" s="148"/>
      <c r="Q1" s="148"/>
      <c r="R1" s="148"/>
      <c r="S1" s="148"/>
      <c r="T1" s="148"/>
      <c r="U1" s="148"/>
    </row>
    <row r="2" spans="1:21" s="147" customFormat="1" ht="47.25" x14ac:dyDescent="0.25">
      <c r="A2" s="167" t="s">
        <v>2</v>
      </c>
      <c r="B2" s="167" t="s">
        <v>3</v>
      </c>
      <c r="C2" s="167" t="s">
        <v>4</v>
      </c>
      <c r="D2" s="168" t="s">
        <v>404</v>
      </c>
      <c r="E2" s="168" t="s">
        <v>405</v>
      </c>
      <c r="F2" s="168" t="s">
        <v>406</v>
      </c>
      <c r="G2" s="168" t="s">
        <v>407</v>
      </c>
      <c r="H2" s="168" t="s">
        <v>408</v>
      </c>
      <c r="I2" s="168" t="s">
        <v>409</v>
      </c>
      <c r="J2" s="168" t="s">
        <v>410</v>
      </c>
      <c r="K2" s="168" t="s">
        <v>411</v>
      </c>
      <c r="L2" s="168" t="s">
        <v>412</v>
      </c>
      <c r="M2" s="168" t="s">
        <v>413</v>
      </c>
      <c r="N2" s="168" t="s">
        <v>414</v>
      </c>
      <c r="O2" s="168" t="s">
        <v>415</v>
      </c>
    </row>
    <row r="3" spans="1:21" s="156" customFormat="1" ht="40.5" customHeight="1" x14ac:dyDescent="0.3">
      <c r="A3" s="159" t="s">
        <v>416</v>
      </c>
      <c r="B3" s="163">
        <v>4</v>
      </c>
      <c r="C3" s="157" t="s">
        <v>9</v>
      </c>
      <c r="D3" s="169"/>
      <c r="E3" s="169"/>
      <c r="F3" s="169">
        <v>1</v>
      </c>
      <c r="G3" s="169"/>
      <c r="H3" s="169"/>
      <c r="I3" s="169">
        <v>1</v>
      </c>
      <c r="J3" s="169"/>
      <c r="K3" s="169"/>
      <c r="L3" s="169"/>
      <c r="M3" s="169"/>
      <c r="N3" s="169"/>
      <c r="O3" s="169"/>
    </row>
    <row r="4" spans="1:21" s="156" customFormat="1" ht="40.5" customHeight="1" x14ac:dyDescent="0.3">
      <c r="A4" s="159" t="s">
        <v>417</v>
      </c>
      <c r="B4" s="163">
        <v>5</v>
      </c>
      <c r="C4" s="157" t="s">
        <v>10</v>
      </c>
      <c r="D4" s="169"/>
      <c r="E4" s="169"/>
      <c r="F4" s="169"/>
      <c r="G4" s="169">
        <v>2</v>
      </c>
      <c r="H4" s="169">
        <v>1</v>
      </c>
      <c r="I4" s="169"/>
      <c r="J4" s="169"/>
      <c r="K4" s="169"/>
      <c r="L4" s="169"/>
      <c r="M4" s="169"/>
      <c r="N4" s="169"/>
      <c r="O4" s="169"/>
    </row>
    <row r="5" spans="1:21" s="156" customFormat="1" ht="40.5" customHeight="1" x14ac:dyDescent="0.3">
      <c r="A5" s="159" t="s">
        <v>418</v>
      </c>
      <c r="B5" s="163">
        <v>3600</v>
      </c>
      <c r="C5" s="157" t="s">
        <v>13</v>
      </c>
      <c r="D5" s="169"/>
      <c r="E5" s="169"/>
      <c r="F5" s="169"/>
      <c r="G5" s="169"/>
      <c r="H5" s="169"/>
      <c r="I5" s="169"/>
      <c r="J5" s="169"/>
      <c r="K5" s="169"/>
      <c r="L5" s="169"/>
      <c r="M5" s="169"/>
      <c r="N5" s="169"/>
      <c r="O5" s="169"/>
    </row>
    <row r="6" spans="1:21" s="158" customFormat="1" ht="40.5" customHeight="1" x14ac:dyDescent="0.25">
      <c r="A6" s="165" t="s">
        <v>421</v>
      </c>
      <c r="B6" s="163">
        <v>875</v>
      </c>
      <c r="C6" s="157" t="s">
        <v>14</v>
      </c>
      <c r="D6" s="170"/>
      <c r="E6" s="169">
        <v>688</v>
      </c>
      <c r="F6" s="169">
        <v>12</v>
      </c>
      <c r="G6" s="169"/>
      <c r="H6" s="169"/>
      <c r="I6" s="169"/>
      <c r="J6" s="169"/>
      <c r="K6" s="169"/>
      <c r="L6" s="169"/>
      <c r="M6" s="169"/>
      <c r="N6" s="169"/>
      <c r="O6" s="169"/>
    </row>
    <row r="7" spans="1:21" s="158" customFormat="1" ht="40.5" customHeight="1" x14ac:dyDescent="0.25">
      <c r="A7" s="165" t="s">
        <v>422</v>
      </c>
      <c r="B7" s="163">
        <v>775</v>
      </c>
      <c r="C7" s="157" t="s">
        <v>14</v>
      </c>
      <c r="D7" s="170"/>
      <c r="E7" s="169">
        <v>588</v>
      </c>
      <c r="F7" s="169">
        <v>12</v>
      </c>
      <c r="G7" s="169"/>
      <c r="H7" s="169"/>
      <c r="I7" s="169"/>
      <c r="J7" s="169"/>
      <c r="K7" s="169"/>
      <c r="L7" s="169"/>
      <c r="M7" s="169"/>
      <c r="N7" s="169"/>
      <c r="O7" s="169"/>
    </row>
    <row r="8" spans="1:21" s="158" customFormat="1" ht="40.5" customHeight="1" x14ac:dyDescent="0.25">
      <c r="A8" s="159" t="s">
        <v>419</v>
      </c>
      <c r="B8" s="163">
        <v>2</v>
      </c>
      <c r="C8" s="157" t="s">
        <v>17</v>
      </c>
      <c r="D8" s="170"/>
      <c r="E8" s="169"/>
      <c r="F8" s="169"/>
      <c r="G8" s="169"/>
      <c r="H8" s="169"/>
      <c r="I8" s="169"/>
      <c r="J8" s="169"/>
      <c r="K8" s="169"/>
      <c r="L8" s="169"/>
      <c r="M8" s="169"/>
      <c r="N8" s="169"/>
      <c r="O8" s="169"/>
    </row>
    <row r="9" spans="1:21" s="158" customFormat="1" ht="40.5" customHeight="1" x14ac:dyDescent="0.25">
      <c r="A9" s="159" t="s">
        <v>423</v>
      </c>
      <c r="B9" s="163">
        <v>1300</v>
      </c>
      <c r="C9" s="160" t="s">
        <v>20</v>
      </c>
      <c r="D9" s="171"/>
      <c r="E9" s="172"/>
      <c r="F9" s="172"/>
      <c r="G9" s="172"/>
      <c r="H9" s="172"/>
      <c r="I9" s="172"/>
      <c r="J9" s="172"/>
      <c r="K9" s="172"/>
      <c r="L9" s="172"/>
      <c r="M9" s="172"/>
      <c r="N9" s="172"/>
      <c r="O9" s="172"/>
    </row>
    <row r="10" spans="1:21" s="158" customFormat="1" ht="40.5" customHeight="1" x14ac:dyDescent="0.25">
      <c r="A10" s="159" t="s">
        <v>424</v>
      </c>
      <c r="B10" s="163">
        <v>15000</v>
      </c>
      <c r="C10" s="161" t="s">
        <v>23</v>
      </c>
      <c r="D10" s="173"/>
      <c r="E10" s="173"/>
      <c r="F10" s="173"/>
      <c r="G10" s="173"/>
      <c r="H10" s="173"/>
      <c r="I10" s="173"/>
      <c r="J10" s="173"/>
      <c r="K10" s="173"/>
      <c r="L10" s="173"/>
      <c r="M10" s="173"/>
      <c r="N10" s="173"/>
      <c r="O10" s="173"/>
    </row>
    <row r="11" spans="1:21" s="162" customFormat="1" ht="40.5" customHeight="1" x14ac:dyDescent="0.25">
      <c r="A11" s="166" t="s">
        <v>425</v>
      </c>
      <c r="B11" s="163">
        <v>40</v>
      </c>
      <c r="C11" s="164" t="s">
        <v>25</v>
      </c>
      <c r="D11" s="173"/>
      <c r="E11" s="173"/>
      <c r="F11" s="173"/>
      <c r="G11" s="173"/>
      <c r="H11" s="173">
        <v>7</v>
      </c>
      <c r="I11" s="173">
        <v>3</v>
      </c>
      <c r="J11" s="173"/>
      <c r="K11" s="173"/>
      <c r="L11" s="173"/>
      <c r="M11" s="173"/>
      <c r="N11" s="173"/>
      <c r="O11" s="173"/>
    </row>
    <row r="12" spans="1:21" ht="27" x14ac:dyDescent="0.3">
      <c r="A12" s="166" t="s">
        <v>426</v>
      </c>
      <c r="B12" s="163">
        <v>400</v>
      </c>
      <c r="C12" s="197" t="s">
        <v>427</v>
      </c>
      <c r="D12" s="173"/>
      <c r="E12" s="173"/>
      <c r="F12" s="173"/>
      <c r="G12" s="173"/>
      <c r="H12" s="173"/>
      <c r="I12" s="173"/>
      <c r="J12" s="173"/>
      <c r="K12" s="173"/>
      <c r="L12" s="173"/>
      <c r="M12" s="173"/>
      <c r="N12" s="173"/>
      <c r="O12" s="173"/>
    </row>
    <row r="13" spans="1:21" x14ac:dyDescent="0.3">
      <c r="A13" s="155"/>
      <c r="B13" s="18"/>
      <c r="C13" s="19"/>
      <c r="D13" s="20"/>
      <c r="E13" s="20"/>
      <c r="F13" s="20"/>
      <c r="G13" s="20"/>
      <c r="H13" s="20"/>
      <c r="I13" s="20"/>
      <c r="J13" s="20"/>
      <c r="K13" s="20"/>
      <c r="L13" s="20"/>
      <c r="M13" s="20"/>
      <c r="N13" s="20"/>
      <c r="O13" s="20"/>
    </row>
    <row r="14" spans="1:21" x14ac:dyDescent="0.3">
      <c r="A14" s="155"/>
      <c r="B14" s="18"/>
      <c r="C14" s="19"/>
      <c r="D14" s="20"/>
      <c r="E14" s="20"/>
      <c r="F14" s="20"/>
      <c r="G14" s="20"/>
      <c r="H14" s="20"/>
      <c r="I14" s="20"/>
      <c r="J14" s="20"/>
      <c r="K14" s="20"/>
      <c r="L14" s="20"/>
      <c r="M14" s="20"/>
      <c r="N14" s="20"/>
      <c r="O14" s="20"/>
    </row>
    <row r="15" spans="1:21" x14ac:dyDescent="0.3">
      <c r="A15" s="155"/>
      <c r="B15" s="18"/>
      <c r="C15" s="19"/>
      <c r="D15" s="20"/>
      <c r="E15" s="20"/>
      <c r="F15" s="20"/>
      <c r="G15" s="20"/>
      <c r="H15" s="20"/>
      <c r="I15" s="20"/>
      <c r="J15" s="20"/>
      <c r="K15" s="20"/>
      <c r="L15" s="20"/>
      <c r="M15" s="20"/>
      <c r="N15" s="20"/>
      <c r="O15" s="20"/>
    </row>
    <row r="16" spans="1:21" x14ac:dyDescent="0.3">
      <c r="A16" s="155"/>
      <c r="B16" s="18"/>
      <c r="C16" s="19"/>
      <c r="D16" s="20"/>
      <c r="E16" s="20"/>
      <c r="F16" s="20"/>
      <c r="G16" s="20"/>
      <c r="H16" s="20"/>
      <c r="I16" s="20"/>
      <c r="J16" s="20"/>
      <c r="K16" s="20"/>
      <c r="L16" s="20"/>
      <c r="M16" s="20"/>
      <c r="N16" s="20"/>
      <c r="O16" s="20"/>
    </row>
    <row r="17" spans="1:15" x14ac:dyDescent="0.3">
      <c r="A17" s="155"/>
      <c r="B17" s="18"/>
      <c r="C17" s="19"/>
      <c r="D17" s="20"/>
      <c r="E17" s="20"/>
      <c r="F17" s="20"/>
      <c r="G17" s="20"/>
      <c r="H17" s="20"/>
      <c r="I17" s="20"/>
      <c r="J17" s="20"/>
      <c r="K17" s="20"/>
      <c r="L17" s="20"/>
      <c r="M17" s="20"/>
      <c r="N17" s="20"/>
      <c r="O17" s="20"/>
    </row>
    <row r="18" spans="1:15" x14ac:dyDescent="0.3">
      <c r="A18" s="155"/>
      <c r="B18" s="18"/>
      <c r="C18" s="19"/>
      <c r="D18" s="20"/>
      <c r="E18" s="20"/>
      <c r="F18" s="20"/>
      <c r="G18" s="20"/>
      <c r="H18" s="20"/>
      <c r="I18" s="20"/>
      <c r="J18" s="20"/>
      <c r="K18" s="20"/>
      <c r="L18" s="20"/>
      <c r="M18" s="20"/>
      <c r="N18" s="20"/>
      <c r="O18" s="20"/>
    </row>
    <row r="19" spans="1:15" x14ac:dyDescent="0.3">
      <c r="A19" s="155"/>
      <c r="B19" s="18"/>
      <c r="C19" s="19"/>
      <c r="D19" s="20"/>
      <c r="E19" s="20"/>
      <c r="F19" s="20"/>
      <c r="G19" s="20"/>
      <c r="H19" s="20"/>
      <c r="I19" s="20"/>
      <c r="J19" s="20"/>
      <c r="K19" s="20"/>
      <c r="L19" s="20"/>
      <c r="M19" s="20"/>
      <c r="N19" s="20"/>
      <c r="O19" s="20"/>
    </row>
    <row r="20" spans="1:15" x14ac:dyDescent="0.3">
      <c r="A20" s="155"/>
      <c r="B20" s="18"/>
      <c r="C20" s="19"/>
      <c r="D20" s="20"/>
      <c r="E20" s="20"/>
      <c r="F20" s="20"/>
      <c r="G20" s="20"/>
      <c r="H20" s="20"/>
      <c r="I20" s="20"/>
      <c r="J20" s="20"/>
      <c r="K20" s="20"/>
      <c r="L20" s="20"/>
      <c r="M20" s="20"/>
      <c r="N20" s="20"/>
      <c r="O20" s="20"/>
    </row>
    <row r="21" spans="1:15" x14ac:dyDescent="0.3">
      <c r="A21" s="155"/>
      <c r="B21" s="18"/>
      <c r="C21" s="19"/>
      <c r="D21" s="20"/>
      <c r="E21" s="20"/>
      <c r="F21" s="20"/>
      <c r="G21" s="20"/>
      <c r="H21" s="20"/>
      <c r="I21" s="20"/>
      <c r="J21" s="20"/>
      <c r="K21" s="20"/>
      <c r="L21" s="20"/>
      <c r="M21" s="20"/>
      <c r="N21" s="20"/>
      <c r="O21" s="20"/>
    </row>
    <row r="22" spans="1:15" x14ac:dyDescent="0.3">
      <c r="A22" s="155"/>
      <c r="B22" s="18"/>
      <c r="C22" s="19"/>
      <c r="D22" s="20"/>
      <c r="E22" s="20"/>
      <c r="F22" s="20"/>
      <c r="G22" s="20"/>
      <c r="H22" s="20"/>
      <c r="I22" s="20"/>
      <c r="J22" s="20"/>
      <c r="K22" s="20"/>
      <c r="L22" s="20"/>
      <c r="M22" s="20"/>
      <c r="N22" s="20"/>
      <c r="O22" s="20"/>
    </row>
    <row r="23" spans="1:15" x14ac:dyDescent="0.3">
      <c r="A23" s="155"/>
      <c r="B23" s="18"/>
      <c r="C23" s="19"/>
      <c r="D23" s="20"/>
      <c r="E23" s="20"/>
      <c r="F23" s="20"/>
      <c r="G23" s="20"/>
      <c r="H23" s="20"/>
      <c r="I23" s="20"/>
      <c r="J23" s="20"/>
      <c r="K23" s="20"/>
      <c r="L23" s="20"/>
      <c r="M23" s="20"/>
      <c r="N23" s="20"/>
      <c r="O23" s="20"/>
    </row>
    <row r="24" spans="1:15" x14ac:dyDescent="0.3">
      <c r="A24" s="155"/>
      <c r="B24" s="18"/>
      <c r="C24" s="19"/>
      <c r="D24" s="20"/>
      <c r="E24" s="20"/>
      <c r="F24" s="20"/>
      <c r="G24" s="20"/>
      <c r="H24" s="20"/>
      <c r="I24" s="20"/>
      <c r="J24" s="20"/>
      <c r="K24" s="20"/>
      <c r="L24" s="20"/>
      <c r="M24" s="20"/>
      <c r="N24" s="20"/>
      <c r="O24" s="20"/>
    </row>
    <row r="25" spans="1:15" x14ac:dyDescent="0.3">
      <c r="A25" s="155"/>
      <c r="B25" s="18"/>
      <c r="C25" s="19"/>
      <c r="D25" s="20"/>
      <c r="E25" s="20"/>
      <c r="F25" s="20"/>
      <c r="G25" s="20"/>
      <c r="H25" s="20"/>
      <c r="I25" s="20"/>
      <c r="J25" s="20"/>
      <c r="K25" s="20"/>
      <c r="L25" s="20"/>
      <c r="M25" s="20"/>
      <c r="N25" s="20"/>
      <c r="O25" s="20"/>
    </row>
    <row r="26" spans="1:15" x14ac:dyDescent="0.3">
      <c r="A26" s="155"/>
      <c r="B26" s="18"/>
      <c r="C26" s="19"/>
      <c r="D26" s="20"/>
      <c r="E26" s="20"/>
      <c r="F26" s="20"/>
      <c r="G26" s="20"/>
      <c r="H26" s="20"/>
      <c r="I26" s="20"/>
      <c r="J26" s="20"/>
      <c r="K26" s="20"/>
      <c r="L26" s="20"/>
      <c r="M26" s="20"/>
      <c r="N26" s="20"/>
      <c r="O26" s="20"/>
    </row>
    <row r="27" spans="1:15" x14ac:dyDescent="0.3">
      <c r="A27" s="155"/>
      <c r="B27" s="18"/>
      <c r="C27" s="19"/>
      <c r="D27" s="20"/>
      <c r="E27" s="20"/>
      <c r="F27" s="20"/>
      <c r="G27" s="20"/>
      <c r="H27" s="20"/>
      <c r="I27" s="20"/>
      <c r="J27" s="20"/>
      <c r="K27" s="20"/>
      <c r="L27" s="20"/>
      <c r="M27" s="20"/>
      <c r="N27" s="20"/>
      <c r="O27" s="20"/>
    </row>
    <row r="28" spans="1:15" x14ac:dyDescent="0.3">
      <c r="A28" s="155"/>
      <c r="B28" s="18"/>
      <c r="C28" s="19"/>
      <c r="D28" s="20"/>
      <c r="E28" s="20"/>
      <c r="F28" s="20"/>
      <c r="G28" s="20"/>
      <c r="H28" s="20"/>
      <c r="I28" s="20"/>
      <c r="J28" s="20"/>
      <c r="K28" s="20"/>
      <c r="L28" s="20"/>
      <c r="M28" s="20"/>
      <c r="N28" s="20"/>
      <c r="O28" s="20"/>
    </row>
    <row r="29" spans="1:15" x14ac:dyDescent="0.3">
      <c r="A29" s="155"/>
      <c r="B29" s="18"/>
      <c r="C29" s="19"/>
      <c r="D29" s="20"/>
      <c r="E29" s="20"/>
      <c r="F29" s="20"/>
      <c r="G29" s="20"/>
      <c r="H29" s="20"/>
      <c r="I29" s="20"/>
      <c r="J29" s="20"/>
      <c r="K29" s="20"/>
      <c r="L29" s="20"/>
      <c r="M29" s="20"/>
      <c r="N29" s="20"/>
      <c r="O29" s="20"/>
    </row>
    <row r="30" spans="1:15" x14ac:dyDescent="0.3">
      <c r="A30" s="155"/>
      <c r="B30" s="18"/>
      <c r="C30" s="19"/>
      <c r="D30" s="20"/>
      <c r="E30" s="20"/>
      <c r="F30" s="20"/>
      <c r="G30" s="20"/>
      <c r="H30" s="20"/>
      <c r="I30" s="20"/>
      <c r="J30" s="20"/>
      <c r="K30" s="20"/>
      <c r="L30" s="20"/>
      <c r="M30" s="20"/>
      <c r="N30" s="20"/>
      <c r="O30" s="20"/>
    </row>
    <row r="31" spans="1:15" x14ac:dyDescent="0.3">
      <c r="A31" s="155"/>
      <c r="B31" s="18"/>
      <c r="C31" s="19"/>
      <c r="D31" s="20"/>
      <c r="E31" s="20"/>
      <c r="F31" s="20"/>
      <c r="G31" s="20"/>
      <c r="H31" s="20"/>
      <c r="I31" s="20"/>
      <c r="J31" s="20"/>
      <c r="K31" s="20"/>
      <c r="L31" s="20"/>
      <c r="M31" s="20"/>
      <c r="N31" s="20"/>
      <c r="O31" s="20"/>
    </row>
    <row r="32" spans="1:15" x14ac:dyDescent="0.3">
      <c r="A32" s="155"/>
      <c r="B32" s="18"/>
      <c r="C32" s="19"/>
      <c r="D32" s="20"/>
      <c r="E32" s="20"/>
      <c r="F32" s="20"/>
      <c r="G32" s="20"/>
      <c r="H32" s="20"/>
      <c r="I32" s="20"/>
      <c r="J32" s="20"/>
      <c r="K32" s="20"/>
      <c r="L32" s="20"/>
      <c r="M32" s="20"/>
      <c r="N32" s="20"/>
      <c r="O32" s="20"/>
    </row>
    <row r="33" spans="1:15" x14ac:dyDescent="0.3">
      <c r="A33" s="155"/>
      <c r="B33" s="18"/>
      <c r="C33" s="19"/>
      <c r="D33" s="20"/>
      <c r="E33" s="20"/>
      <c r="F33" s="20"/>
      <c r="G33" s="20"/>
      <c r="H33" s="20"/>
      <c r="I33" s="20"/>
      <c r="J33" s="20"/>
      <c r="K33" s="20"/>
      <c r="L33" s="20"/>
      <c r="M33" s="20"/>
      <c r="N33" s="20"/>
      <c r="O33" s="20"/>
    </row>
    <row r="34" spans="1:15" x14ac:dyDescent="0.3">
      <c r="A34" s="155"/>
      <c r="B34" s="18"/>
      <c r="C34" s="19"/>
      <c r="D34" s="20"/>
      <c r="E34" s="20"/>
      <c r="F34" s="20"/>
      <c r="G34" s="20"/>
      <c r="H34" s="20"/>
      <c r="I34" s="20"/>
      <c r="J34" s="20"/>
      <c r="K34" s="20"/>
      <c r="L34" s="20"/>
      <c r="M34" s="20"/>
      <c r="N34" s="20"/>
      <c r="O34" s="20"/>
    </row>
    <row r="35" spans="1:15" x14ac:dyDescent="0.3">
      <c r="A35" s="155"/>
      <c r="B35" s="18"/>
      <c r="C35" s="19"/>
      <c r="D35" s="20"/>
      <c r="E35" s="20"/>
      <c r="F35" s="20"/>
      <c r="G35" s="20"/>
      <c r="H35" s="20"/>
      <c r="I35" s="20"/>
      <c r="J35" s="20"/>
      <c r="K35" s="20"/>
      <c r="L35" s="20"/>
      <c r="M35" s="20"/>
      <c r="N35" s="20"/>
      <c r="O35" s="20"/>
    </row>
    <row r="36" spans="1:15" x14ac:dyDescent="0.3">
      <c r="A36" s="155"/>
      <c r="B36" s="18"/>
      <c r="C36" s="19"/>
      <c r="D36" s="20"/>
      <c r="E36" s="20"/>
      <c r="F36" s="20"/>
      <c r="G36" s="20"/>
      <c r="H36" s="20"/>
      <c r="I36" s="20"/>
      <c r="J36" s="20"/>
      <c r="K36" s="20"/>
      <c r="L36" s="20"/>
      <c r="M36" s="20"/>
      <c r="N36" s="20"/>
      <c r="O36" s="20"/>
    </row>
    <row r="37" spans="1:15" x14ac:dyDescent="0.3">
      <c r="A37" s="155"/>
      <c r="B37" s="18"/>
      <c r="C37" s="19"/>
      <c r="D37" s="20"/>
      <c r="E37" s="20"/>
      <c r="F37" s="20"/>
      <c r="G37" s="20"/>
      <c r="H37" s="20"/>
      <c r="I37" s="20"/>
      <c r="J37" s="20"/>
      <c r="K37" s="20"/>
      <c r="L37" s="20"/>
      <c r="M37" s="20"/>
      <c r="N37" s="20"/>
      <c r="O37" s="20"/>
    </row>
    <row r="38" spans="1:15" x14ac:dyDescent="0.3">
      <c r="A38" s="155"/>
      <c r="B38" s="18"/>
      <c r="C38" s="19"/>
      <c r="D38" s="20"/>
      <c r="E38" s="20"/>
      <c r="F38" s="20"/>
      <c r="G38" s="20"/>
      <c r="H38" s="20"/>
      <c r="I38" s="20"/>
      <c r="J38" s="20"/>
      <c r="K38" s="20"/>
      <c r="L38" s="20"/>
      <c r="M38" s="20"/>
      <c r="N38" s="20"/>
      <c r="O38" s="20"/>
    </row>
    <row r="39" spans="1:15" x14ac:dyDescent="0.3">
      <c r="A39" s="155"/>
      <c r="B39" s="18"/>
      <c r="C39" s="19"/>
      <c r="D39" s="20"/>
      <c r="E39" s="20"/>
      <c r="F39" s="20"/>
      <c r="G39" s="20"/>
      <c r="H39" s="20"/>
      <c r="I39" s="20"/>
      <c r="J39" s="20"/>
      <c r="K39" s="20"/>
      <c r="L39" s="20"/>
      <c r="M39" s="20"/>
      <c r="N39" s="20"/>
      <c r="O39" s="20"/>
    </row>
    <row r="40" spans="1:15" x14ac:dyDescent="0.3">
      <c r="A40" s="155"/>
      <c r="B40" s="18"/>
      <c r="C40" s="19"/>
      <c r="D40" s="20"/>
      <c r="E40" s="20"/>
      <c r="F40" s="20"/>
      <c r="G40" s="20"/>
      <c r="H40" s="20"/>
      <c r="I40" s="20"/>
      <c r="J40" s="20"/>
      <c r="K40" s="20"/>
      <c r="L40" s="20"/>
      <c r="M40" s="20"/>
      <c r="N40" s="20"/>
      <c r="O40" s="20"/>
    </row>
    <row r="41" spans="1:15" x14ac:dyDescent="0.3">
      <c r="A41" s="155"/>
      <c r="B41" s="18"/>
      <c r="C41" s="19"/>
      <c r="D41" s="20"/>
      <c r="E41" s="20"/>
      <c r="F41" s="20"/>
      <c r="G41" s="20"/>
      <c r="H41" s="20"/>
      <c r="I41" s="20"/>
      <c r="J41" s="20"/>
      <c r="K41" s="20"/>
      <c r="L41" s="20"/>
      <c r="M41" s="20"/>
      <c r="N41" s="20"/>
      <c r="O41" s="20"/>
    </row>
    <row r="42" spans="1:15" x14ac:dyDescent="0.3">
      <c r="A42" s="155"/>
      <c r="B42" s="18"/>
      <c r="C42" s="19"/>
      <c r="D42" s="20"/>
      <c r="E42" s="20"/>
      <c r="F42" s="20"/>
      <c r="G42" s="20"/>
      <c r="H42" s="20"/>
      <c r="I42" s="20"/>
      <c r="J42" s="20"/>
      <c r="K42" s="20"/>
      <c r="L42" s="20"/>
      <c r="M42" s="20"/>
      <c r="N42" s="20"/>
      <c r="O42" s="20"/>
    </row>
    <row r="43" spans="1:15" x14ac:dyDescent="0.3">
      <c r="A43" s="155"/>
      <c r="B43" s="18"/>
      <c r="C43" s="19"/>
      <c r="D43" s="20"/>
      <c r="E43" s="20"/>
      <c r="F43" s="20"/>
      <c r="G43" s="20"/>
      <c r="H43" s="20"/>
      <c r="I43" s="20"/>
      <c r="J43" s="20"/>
      <c r="K43" s="20"/>
      <c r="L43" s="20"/>
      <c r="M43" s="20"/>
      <c r="N43" s="20"/>
      <c r="O43" s="20"/>
    </row>
    <row r="44" spans="1:15" x14ac:dyDescent="0.3">
      <c r="A44" s="155"/>
      <c r="B44" s="18"/>
      <c r="C44" s="19"/>
      <c r="D44" s="20"/>
      <c r="E44" s="20"/>
      <c r="F44" s="20"/>
      <c r="G44" s="20"/>
      <c r="H44" s="20"/>
      <c r="I44" s="20"/>
      <c r="J44" s="20"/>
      <c r="K44" s="20"/>
      <c r="L44" s="20"/>
      <c r="M44" s="20"/>
      <c r="N44" s="20"/>
      <c r="O44" s="20"/>
    </row>
    <row r="45" spans="1:15" x14ac:dyDescent="0.3">
      <c r="A45" s="155"/>
      <c r="B45" s="18"/>
      <c r="C45" s="19"/>
      <c r="D45" s="20"/>
      <c r="E45" s="20"/>
      <c r="F45" s="20"/>
      <c r="G45" s="20"/>
      <c r="H45" s="20"/>
      <c r="I45" s="20"/>
      <c r="J45" s="20"/>
      <c r="K45" s="20"/>
      <c r="L45" s="20"/>
      <c r="M45" s="20"/>
      <c r="N45" s="20"/>
      <c r="O45" s="20"/>
    </row>
    <row r="46" spans="1:15" x14ac:dyDescent="0.3">
      <c r="A46" s="155"/>
      <c r="B46" s="18"/>
      <c r="C46" s="19"/>
      <c r="D46" s="20"/>
      <c r="E46" s="20"/>
      <c r="F46" s="20"/>
      <c r="G46" s="20"/>
      <c r="H46" s="20"/>
      <c r="I46" s="20"/>
      <c r="J46" s="20"/>
      <c r="K46" s="20"/>
      <c r="L46" s="20"/>
      <c r="M46" s="20"/>
      <c r="N46" s="20"/>
      <c r="O46" s="20"/>
    </row>
    <row r="47" spans="1:15" x14ac:dyDescent="0.3">
      <c r="A47" s="155"/>
      <c r="B47" s="18"/>
      <c r="C47" s="19"/>
      <c r="D47" s="20"/>
      <c r="E47" s="20"/>
      <c r="F47" s="20"/>
      <c r="G47" s="20"/>
      <c r="H47" s="20"/>
      <c r="I47" s="20"/>
      <c r="J47" s="20"/>
      <c r="K47" s="20"/>
      <c r="L47" s="20"/>
      <c r="M47" s="20"/>
      <c r="N47" s="20"/>
      <c r="O47" s="20"/>
    </row>
    <row r="48" spans="1:15" x14ac:dyDescent="0.3">
      <c r="A48" s="155"/>
      <c r="B48" s="18"/>
      <c r="C48" s="19"/>
      <c r="D48" s="20"/>
      <c r="E48" s="20"/>
      <c r="F48" s="20"/>
      <c r="G48" s="20"/>
      <c r="H48" s="20"/>
      <c r="I48" s="20"/>
      <c r="J48" s="20"/>
      <c r="K48" s="20"/>
      <c r="L48" s="20"/>
      <c r="M48" s="20"/>
      <c r="N48" s="20"/>
      <c r="O48" s="20"/>
    </row>
    <row r="49" spans="1:15" x14ac:dyDescent="0.3">
      <c r="A49" s="155"/>
      <c r="B49" s="18"/>
      <c r="C49" s="19"/>
      <c r="D49" s="20"/>
      <c r="E49" s="20"/>
      <c r="F49" s="20"/>
      <c r="G49" s="20"/>
      <c r="H49" s="20"/>
      <c r="I49" s="20"/>
      <c r="J49" s="20"/>
      <c r="K49" s="20"/>
      <c r="L49" s="20"/>
      <c r="M49" s="20"/>
      <c r="N49" s="20"/>
      <c r="O49" s="20"/>
    </row>
    <row r="50" spans="1:15" x14ac:dyDescent="0.3">
      <c r="A50" s="155"/>
      <c r="B50" s="18"/>
      <c r="C50" s="19"/>
      <c r="D50" s="20"/>
      <c r="E50" s="20"/>
      <c r="F50" s="20"/>
      <c r="G50" s="20"/>
      <c r="H50" s="20"/>
      <c r="I50" s="20"/>
      <c r="J50" s="20"/>
      <c r="K50" s="20"/>
      <c r="L50" s="20"/>
      <c r="M50" s="20"/>
      <c r="N50" s="20"/>
      <c r="O50" s="20"/>
    </row>
    <row r="51" spans="1:15" x14ac:dyDescent="0.3">
      <c r="A51" s="155"/>
      <c r="B51" s="18"/>
      <c r="C51" s="19"/>
      <c r="D51" s="20"/>
      <c r="E51" s="20"/>
      <c r="F51" s="20"/>
      <c r="G51" s="20"/>
      <c r="H51" s="20"/>
      <c r="I51" s="20"/>
      <c r="J51" s="20"/>
      <c r="K51" s="20"/>
      <c r="L51" s="20"/>
      <c r="M51" s="20"/>
      <c r="N51" s="20"/>
      <c r="O51" s="20"/>
    </row>
    <row r="52" spans="1:15" x14ac:dyDescent="0.3">
      <c r="A52" s="155"/>
      <c r="B52" s="18"/>
      <c r="C52" s="19"/>
      <c r="D52" s="20"/>
      <c r="E52" s="20"/>
      <c r="F52" s="20"/>
      <c r="G52" s="20"/>
      <c r="H52" s="20"/>
      <c r="I52" s="20"/>
      <c r="J52" s="20"/>
      <c r="K52" s="20"/>
      <c r="L52" s="20"/>
      <c r="M52" s="20"/>
      <c r="N52" s="20"/>
      <c r="O52" s="20"/>
    </row>
    <row r="53" spans="1:15" x14ac:dyDescent="0.3">
      <c r="A53" s="155"/>
      <c r="B53" s="18"/>
      <c r="C53" s="19"/>
      <c r="D53" s="20"/>
      <c r="E53" s="20"/>
      <c r="F53" s="20"/>
      <c r="G53" s="20"/>
      <c r="H53" s="20"/>
      <c r="I53" s="20"/>
      <c r="J53" s="20"/>
      <c r="K53" s="20"/>
      <c r="L53" s="20"/>
      <c r="M53" s="20"/>
      <c r="N53" s="20"/>
      <c r="O53" s="20"/>
    </row>
    <row r="54" spans="1:15" x14ac:dyDescent="0.3">
      <c r="A54" s="155"/>
      <c r="B54" s="18"/>
      <c r="C54" s="19"/>
      <c r="D54" s="20"/>
      <c r="E54" s="20"/>
      <c r="F54" s="20"/>
      <c r="G54" s="20"/>
      <c r="H54" s="20"/>
      <c r="I54" s="20"/>
      <c r="J54" s="20"/>
      <c r="K54" s="20"/>
      <c r="L54" s="20"/>
      <c r="M54" s="20"/>
      <c r="N54" s="20"/>
      <c r="O54" s="20"/>
    </row>
    <row r="55" spans="1:15" x14ac:dyDescent="0.3">
      <c r="A55" s="155"/>
      <c r="B55" s="18"/>
      <c r="C55" s="19"/>
      <c r="D55" s="20"/>
      <c r="E55" s="20"/>
      <c r="F55" s="20"/>
      <c r="G55" s="20"/>
      <c r="H55" s="20"/>
      <c r="I55" s="20"/>
      <c r="J55" s="20"/>
      <c r="K55" s="20"/>
      <c r="L55" s="20"/>
      <c r="M55" s="20"/>
      <c r="N55" s="20"/>
      <c r="O55" s="20"/>
    </row>
    <row r="56" spans="1:15" x14ac:dyDescent="0.3">
      <c r="A56" s="155"/>
      <c r="B56" s="18"/>
      <c r="C56" s="19"/>
      <c r="D56" s="20"/>
      <c r="E56" s="20"/>
      <c r="F56" s="20"/>
      <c r="G56" s="20"/>
      <c r="H56" s="20"/>
      <c r="I56" s="20"/>
      <c r="J56" s="20"/>
      <c r="K56" s="20"/>
      <c r="L56" s="20"/>
      <c r="M56" s="20"/>
      <c r="N56" s="20"/>
      <c r="O56" s="20"/>
    </row>
    <row r="57" spans="1:15" x14ac:dyDescent="0.3">
      <c r="A57" s="155"/>
      <c r="B57" s="18"/>
      <c r="C57" s="19"/>
      <c r="D57" s="20"/>
      <c r="E57" s="20"/>
      <c r="F57" s="20"/>
      <c r="G57" s="20"/>
      <c r="H57" s="20"/>
      <c r="I57" s="20"/>
      <c r="J57" s="20"/>
      <c r="K57" s="20"/>
      <c r="L57" s="20"/>
      <c r="M57" s="20"/>
      <c r="N57" s="20"/>
      <c r="O57" s="20"/>
    </row>
    <row r="58" spans="1:15" x14ac:dyDescent="0.3">
      <c r="A58" s="155"/>
      <c r="B58" s="18"/>
      <c r="C58" s="19"/>
      <c r="D58" s="20"/>
      <c r="E58" s="20"/>
      <c r="F58" s="20"/>
      <c r="G58" s="20"/>
      <c r="H58" s="20"/>
      <c r="I58" s="20"/>
      <c r="J58" s="20"/>
      <c r="K58" s="20"/>
      <c r="L58" s="20"/>
      <c r="M58" s="20"/>
      <c r="N58" s="20"/>
      <c r="O58" s="20"/>
    </row>
    <row r="59" spans="1:15" x14ac:dyDescent="0.3">
      <c r="A59" s="155"/>
      <c r="B59" s="18"/>
      <c r="C59" s="19"/>
      <c r="D59" s="20"/>
      <c r="E59" s="20"/>
      <c r="F59" s="20"/>
      <c r="G59" s="20"/>
      <c r="H59" s="20"/>
      <c r="I59" s="20"/>
      <c r="J59" s="20"/>
      <c r="K59" s="20"/>
      <c r="L59" s="20"/>
      <c r="M59" s="20"/>
      <c r="N59" s="20"/>
      <c r="O59" s="20"/>
    </row>
    <row r="60" spans="1:15" x14ac:dyDescent="0.3">
      <c r="A60" s="155"/>
      <c r="B60" s="18"/>
      <c r="C60" s="19"/>
      <c r="D60" s="20"/>
      <c r="E60" s="20"/>
      <c r="F60" s="20"/>
      <c r="G60" s="20"/>
      <c r="H60" s="20"/>
      <c r="I60" s="20"/>
      <c r="J60" s="20"/>
      <c r="K60" s="20"/>
      <c r="L60" s="20"/>
      <c r="M60" s="20"/>
      <c r="N60" s="20"/>
      <c r="O60" s="20"/>
    </row>
    <row r="61" spans="1:15" x14ac:dyDescent="0.3">
      <c r="A61" s="155"/>
      <c r="B61" s="18"/>
      <c r="C61" s="19"/>
      <c r="D61" s="20"/>
      <c r="E61" s="20"/>
      <c r="F61" s="20"/>
      <c r="G61" s="20"/>
      <c r="H61" s="20"/>
      <c r="I61" s="20"/>
      <c r="J61" s="20"/>
      <c r="K61" s="20"/>
      <c r="L61" s="20"/>
      <c r="M61" s="20"/>
      <c r="N61" s="20"/>
      <c r="O61" s="20"/>
    </row>
    <row r="62" spans="1:15" x14ac:dyDescent="0.3">
      <c r="A62" s="155"/>
      <c r="B62" s="18"/>
      <c r="C62" s="19"/>
      <c r="D62" s="20"/>
      <c r="E62" s="20"/>
      <c r="F62" s="20"/>
      <c r="G62" s="20"/>
      <c r="H62" s="20"/>
      <c r="I62" s="20"/>
      <c r="J62" s="20"/>
      <c r="K62" s="20"/>
      <c r="L62" s="20"/>
      <c r="M62" s="20"/>
      <c r="N62" s="20"/>
      <c r="O62" s="20"/>
    </row>
    <row r="63" spans="1:15" x14ac:dyDescent="0.3">
      <c r="A63" s="155"/>
      <c r="B63" s="18"/>
      <c r="C63" s="19"/>
      <c r="D63" s="20"/>
      <c r="E63" s="20"/>
      <c r="F63" s="20"/>
      <c r="G63" s="20"/>
      <c r="H63" s="20"/>
      <c r="I63" s="20"/>
      <c r="J63" s="20"/>
      <c r="K63" s="20"/>
      <c r="L63" s="20"/>
      <c r="M63" s="20"/>
      <c r="N63" s="20"/>
      <c r="O63" s="20"/>
    </row>
    <row r="64" spans="1:15" x14ac:dyDescent="0.3">
      <c r="A64" s="155"/>
      <c r="B64" s="18"/>
      <c r="C64" s="19"/>
      <c r="D64" s="20"/>
      <c r="E64" s="20"/>
      <c r="F64" s="20"/>
      <c r="G64" s="20"/>
      <c r="H64" s="20"/>
      <c r="I64" s="20"/>
      <c r="J64" s="20"/>
      <c r="K64" s="20"/>
      <c r="L64" s="20"/>
      <c r="M64" s="20"/>
      <c r="N64" s="20"/>
      <c r="O64" s="20"/>
    </row>
    <row r="65" spans="1:15" x14ac:dyDescent="0.3">
      <c r="A65" s="155"/>
      <c r="B65" s="18"/>
      <c r="C65" s="19"/>
      <c r="D65" s="20"/>
      <c r="E65" s="20"/>
      <c r="F65" s="20"/>
      <c r="G65" s="20"/>
      <c r="H65" s="20"/>
      <c r="I65" s="20"/>
      <c r="J65" s="20"/>
      <c r="K65" s="20"/>
      <c r="L65" s="20"/>
      <c r="M65" s="20"/>
      <c r="N65" s="20"/>
      <c r="O65" s="20"/>
    </row>
    <row r="66" spans="1:15" x14ac:dyDescent="0.3">
      <c r="A66" s="155"/>
      <c r="B66" s="18"/>
      <c r="C66" s="19"/>
      <c r="D66" s="20"/>
      <c r="E66" s="20"/>
      <c r="F66" s="20"/>
      <c r="G66" s="20"/>
      <c r="H66" s="20"/>
      <c r="I66" s="20"/>
      <c r="J66" s="20"/>
      <c r="K66" s="20"/>
      <c r="L66" s="20"/>
      <c r="M66" s="20"/>
      <c r="N66" s="20"/>
      <c r="O66" s="20"/>
    </row>
    <row r="67" spans="1:15" x14ac:dyDescent="0.3">
      <c r="A67" s="155"/>
      <c r="B67" s="18"/>
      <c r="C67" s="19"/>
      <c r="D67" s="20"/>
      <c r="E67" s="20"/>
      <c r="F67" s="20"/>
      <c r="G67" s="20"/>
      <c r="H67" s="20"/>
      <c r="I67" s="20"/>
      <c r="J67" s="20"/>
      <c r="K67" s="20"/>
      <c r="L67" s="20"/>
      <c r="M67" s="20"/>
      <c r="N67" s="20"/>
      <c r="O67" s="20"/>
    </row>
    <row r="68" spans="1:15" x14ac:dyDescent="0.3">
      <c r="A68" s="155"/>
      <c r="B68" s="18"/>
      <c r="C68" s="19"/>
      <c r="D68" s="20"/>
      <c r="E68" s="20"/>
      <c r="F68" s="20"/>
      <c r="G68" s="20"/>
      <c r="H68" s="20"/>
      <c r="I68" s="20"/>
      <c r="J68" s="20"/>
      <c r="K68" s="20"/>
      <c r="L68" s="20"/>
      <c r="M68" s="20"/>
      <c r="N68" s="20"/>
      <c r="O68" s="20"/>
    </row>
    <row r="69" spans="1:15" x14ac:dyDescent="0.3">
      <c r="A69" s="155"/>
      <c r="B69" s="18"/>
      <c r="C69" s="19"/>
      <c r="D69" s="20"/>
      <c r="E69" s="20"/>
      <c r="F69" s="20"/>
      <c r="G69" s="20"/>
      <c r="H69" s="20"/>
      <c r="I69" s="20"/>
      <c r="J69" s="20"/>
      <c r="K69" s="20"/>
      <c r="L69" s="20"/>
      <c r="M69" s="20"/>
      <c r="N69" s="20"/>
      <c r="O69" s="20"/>
    </row>
    <row r="70" spans="1:15" x14ac:dyDescent="0.3">
      <c r="A70" s="155"/>
      <c r="B70" s="18"/>
      <c r="C70" s="19"/>
      <c r="D70" s="20"/>
      <c r="E70" s="20"/>
      <c r="F70" s="20"/>
      <c r="G70" s="20"/>
      <c r="H70" s="20"/>
      <c r="I70" s="20"/>
      <c r="J70" s="20"/>
      <c r="K70" s="20"/>
      <c r="L70" s="20"/>
      <c r="M70" s="20"/>
      <c r="N70" s="20"/>
      <c r="O70" s="20"/>
    </row>
    <row r="71" spans="1:15" x14ac:dyDescent="0.3">
      <c r="A71" s="155"/>
      <c r="B71" s="18"/>
      <c r="C71" s="19"/>
      <c r="D71" s="20"/>
      <c r="E71" s="20"/>
      <c r="F71" s="20"/>
      <c r="G71" s="20"/>
      <c r="H71" s="20"/>
      <c r="I71" s="20"/>
      <c r="J71" s="20"/>
      <c r="K71" s="20"/>
      <c r="L71" s="20"/>
      <c r="M71" s="20"/>
      <c r="N71" s="20"/>
      <c r="O71" s="20"/>
    </row>
    <row r="72" spans="1:15" x14ac:dyDescent="0.3">
      <c r="A72" s="155"/>
      <c r="B72" s="18"/>
      <c r="C72" s="19"/>
      <c r="D72" s="20"/>
      <c r="E72" s="20"/>
      <c r="F72" s="20"/>
      <c r="G72" s="20"/>
      <c r="H72" s="20"/>
      <c r="I72" s="20"/>
      <c r="J72" s="20"/>
      <c r="K72" s="20"/>
      <c r="L72" s="20"/>
      <c r="M72" s="20"/>
      <c r="N72" s="20"/>
      <c r="O72" s="20"/>
    </row>
    <row r="73" spans="1:15" x14ac:dyDescent="0.3">
      <c r="A73" s="155"/>
      <c r="B73" s="18"/>
      <c r="C73" s="19"/>
      <c r="D73" s="20"/>
      <c r="E73" s="20"/>
      <c r="F73" s="20"/>
      <c r="G73" s="20"/>
      <c r="H73" s="20"/>
      <c r="I73" s="20"/>
      <c r="J73" s="20"/>
      <c r="K73" s="20"/>
      <c r="L73" s="20"/>
      <c r="M73" s="20"/>
      <c r="N73" s="20"/>
      <c r="O73" s="20"/>
    </row>
    <row r="74" spans="1:15" x14ac:dyDescent="0.3">
      <c r="A74" s="155"/>
      <c r="B74" s="18"/>
      <c r="C74" s="19"/>
      <c r="D74" s="20"/>
      <c r="E74" s="20"/>
      <c r="F74" s="20"/>
      <c r="G74" s="20"/>
      <c r="H74" s="20"/>
      <c r="I74" s="20"/>
      <c r="J74" s="20"/>
      <c r="K74" s="20"/>
      <c r="L74" s="20"/>
      <c r="M74" s="20"/>
      <c r="N74" s="20"/>
      <c r="O74" s="20"/>
    </row>
    <row r="75" spans="1:15" x14ac:dyDescent="0.3">
      <c r="A75" s="155"/>
      <c r="B75" s="18"/>
      <c r="C75" s="19"/>
      <c r="D75" s="20"/>
      <c r="E75" s="20"/>
      <c r="F75" s="20"/>
      <c r="G75" s="20"/>
      <c r="H75" s="20"/>
      <c r="I75" s="20"/>
      <c r="J75" s="20"/>
      <c r="K75" s="20"/>
      <c r="L75" s="20"/>
      <c r="M75" s="20"/>
      <c r="N75" s="20"/>
      <c r="O75" s="20"/>
    </row>
    <row r="76" spans="1:15" x14ac:dyDescent="0.3">
      <c r="A76" s="155"/>
      <c r="B76" s="18"/>
      <c r="C76" s="19"/>
      <c r="D76" s="20"/>
      <c r="E76" s="20"/>
      <c r="F76" s="20"/>
      <c r="G76" s="20"/>
      <c r="H76" s="20"/>
      <c r="I76" s="20"/>
      <c r="J76" s="20"/>
      <c r="K76" s="20"/>
      <c r="L76" s="20"/>
      <c r="M76" s="20"/>
      <c r="N76" s="20"/>
      <c r="O76" s="20"/>
    </row>
    <row r="77" spans="1:15" x14ac:dyDescent="0.3">
      <c r="A77" s="155"/>
      <c r="B77" s="18"/>
      <c r="C77" s="19"/>
      <c r="D77" s="20"/>
      <c r="E77" s="20"/>
      <c r="F77" s="20"/>
      <c r="G77" s="20"/>
      <c r="H77" s="20"/>
      <c r="I77" s="20"/>
      <c r="J77" s="20"/>
      <c r="K77" s="20"/>
      <c r="L77" s="20"/>
      <c r="M77" s="20"/>
      <c r="N77" s="20"/>
      <c r="O77" s="20"/>
    </row>
    <row r="78" spans="1:15" x14ac:dyDescent="0.3">
      <c r="A78" s="155"/>
      <c r="B78" s="18"/>
      <c r="C78" s="19"/>
      <c r="D78" s="20"/>
      <c r="E78" s="20"/>
      <c r="F78" s="20"/>
      <c r="G78" s="20"/>
      <c r="H78" s="20"/>
      <c r="I78" s="20"/>
      <c r="J78" s="20"/>
      <c r="K78" s="20"/>
      <c r="L78" s="20"/>
      <c r="M78" s="20"/>
      <c r="N78" s="20"/>
      <c r="O78" s="20"/>
    </row>
    <row r="79" spans="1:15" x14ac:dyDescent="0.3">
      <c r="A79" s="155"/>
      <c r="B79" s="18"/>
      <c r="C79" s="19"/>
      <c r="D79" s="20"/>
      <c r="E79" s="20"/>
      <c r="F79" s="20"/>
      <c r="G79" s="20"/>
      <c r="H79" s="20"/>
      <c r="I79" s="20"/>
      <c r="J79" s="20"/>
      <c r="K79" s="20"/>
      <c r="L79" s="20"/>
      <c r="M79" s="20"/>
      <c r="N79" s="20"/>
      <c r="O79" s="20"/>
    </row>
    <row r="80" spans="1:15" x14ac:dyDescent="0.3">
      <c r="A80" s="155"/>
      <c r="B80" s="18"/>
      <c r="C80" s="19"/>
      <c r="D80" s="20"/>
      <c r="E80" s="20"/>
      <c r="F80" s="20"/>
      <c r="G80" s="20"/>
      <c r="H80" s="20"/>
      <c r="I80" s="20"/>
      <c r="J80" s="20"/>
      <c r="K80" s="20"/>
      <c r="L80" s="20"/>
      <c r="M80" s="20"/>
      <c r="N80" s="20"/>
      <c r="O80" s="20"/>
    </row>
    <row r="81" spans="1:15" x14ac:dyDescent="0.3">
      <c r="A81" s="155"/>
      <c r="B81" s="18"/>
      <c r="C81" s="19"/>
      <c r="D81" s="20"/>
      <c r="E81" s="20"/>
      <c r="F81" s="20"/>
      <c r="G81" s="20"/>
      <c r="H81" s="20"/>
      <c r="I81" s="20"/>
      <c r="J81" s="20"/>
      <c r="K81" s="20"/>
      <c r="L81" s="20"/>
      <c r="M81" s="20"/>
      <c r="N81" s="20"/>
      <c r="O81" s="20"/>
    </row>
    <row r="82" spans="1:15" x14ac:dyDescent="0.3">
      <c r="A82" s="155"/>
      <c r="B82" s="18"/>
      <c r="C82" s="19"/>
      <c r="D82" s="20"/>
      <c r="E82" s="20"/>
      <c r="F82" s="20"/>
      <c r="G82" s="20"/>
      <c r="H82" s="20"/>
      <c r="I82" s="20"/>
      <c r="J82" s="20"/>
      <c r="K82" s="20"/>
      <c r="L82" s="20"/>
      <c r="M82" s="20"/>
      <c r="N82" s="20"/>
      <c r="O82" s="20"/>
    </row>
    <row r="83" spans="1:15" x14ac:dyDescent="0.3">
      <c r="A83" s="155"/>
      <c r="B83" s="18"/>
      <c r="C83" s="19"/>
      <c r="D83" s="20"/>
      <c r="E83" s="20"/>
      <c r="F83" s="20"/>
      <c r="G83" s="20"/>
      <c r="H83" s="20"/>
      <c r="I83" s="20"/>
      <c r="J83" s="20"/>
      <c r="K83" s="20"/>
      <c r="L83" s="20"/>
      <c r="M83" s="20"/>
      <c r="N83" s="20"/>
      <c r="O83" s="20"/>
    </row>
    <row r="84" spans="1:15" x14ac:dyDescent="0.3">
      <c r="A84" s="155"/>
      <c r="B84" s="18"/>
      <c r="C84" s="19"/>
      <c r="D84" s="20"/>
      <c r="E84" s="20"/>
      <c r="F84" s="20"/>
      <c r="G84" s="20"/>
      <c r="H84" s="20"/>
      <c r="I84" s="20"/>
      <c r="J84" s="20"/>
      <c r="K84" s="20"/>
      <c r="L84" s="20"/>
      <c r="M84" s="20"/>
      <c r="N84" s="20"/>
      <c r="O84" s="20"/>
    </row>
    <row r="85" spans="1:15" x14ac:dyDescent="0.3">
      <c r="A85" s="155"/>
      <c r="B85" s="18"/>
      <c r="C85" s="19"/>
      <c r="D85" s="20"/>
      <c r="E85" s="20"/>
      <c r="F85" s="20"/>
      <c r="G85" s="20"/>
      <c r="H85" s="20"/>
      <c r="I85" s="20"/>
      <c r="J85" s="20"/>
      <c r="K85" s="20"/>
      <c r="L85" s="20"/>
      <c r="M85" s="20"/>
      <c r="N85" s="20"/>
      <c r="O85" s="20"/>
    </row>
    <row r="86" spans="1:15" x14ac:dyDescent="0.3">
      <c r="A86" s="155"/>
      <c r="B86" s="18"/>
      <c r="C86" s="19"/>
      <c r="D86" s="20"/>
      <c r="E86" s="20"/>
      <c r="F86" s="20"/>
      <c r="G86" s="20"/>
      <c r="H86" s="20"/>
      <c r="I86" s="20"/>
      <c r="J86" s="20"/>
      <c r="K86" s="20"/>
      <c r="L86" s="20"/>
      <c r="M86" s="20"/>
      <c r="N86" s="20"/>
      <c r="O86" s="20"/>
    </row>
    <row r="87" spans="1:15" x14ac:dyDescent="0.3">
      <c r="A87" s="155"/>
      <c r="B87" s="18"/>
      <c r="C87" s="19"/>
      <c r="D87" s="20"/>
      <c r="E87" s="20"/>
      <c r="F87" s="20"/>
      <c r="G87" s="20"/>
      <c r="H87" s="20"/>
      <c r="I87" s="20"/>
      <c r="J87" s="20"/>
      <c r="K87" s="20"/>
      <c r="L87" s="20"/>
      <c r="M87" s="20"/>
      <c r="N87" s="20"/>
      <c r="O87" s="20"/>
    </row>
    <row r="88" spans="1:15" x14ac:dyDescent="0.3">
      <c r="A88" s="155"/>
      <c r="B88" s="18"/>
      <c r="C88" s="19"/>
      <c r="D88" s="20"/>
      <c r="E88" s="20"/>
      <c r="F88" s="20"/>
      <c r="G88" s="20"/>
      <c r="H88" s="20"/>
      <c r="I88" s="20"/>
      <c r="J88" s="20"/>
      <c r="K88" s="20"/>
      <c r="L88" s="20"/>
      <c r="M88" s="20"/>
      <c r="N88" s="20"/>
      <c r="O88" s="20"/>
    </row>
    <row r="89" spans="1:15" x14ac:dyDescent="0.3">
      <c r="A89" s="155"/>
      <c r="B89" s="18"/>
      <c r="C89" s="19"/>
      <c r="D89" s="20"/>
      <c r="E89" s="20"/>
      <c r="F89" s="20"/>
      <c r="G89" s="20"/>
      <c r="H89" s="20"/>
      <c r="I89" s="20"/>
      <c r="J89" s="20"/>
      <c r="K89" s="20"/>
      <c r="L89" s="20"/>
      <c r="M89" s="20"/>
      <c r="N89" s="20"/>
      <c r="O89" s="20"/>
    </row>
    <row r="90" spans="1:15" x14ac:dyDescent="0.3">
      <c r="A90" s="155"/>
      <c r="B90" s="18"/>
      <c r="C90" s="19"/>
      <c r="D90" s="20"/>
      <c r="E90" s="20"/>
      <c r="F90" s="20"/>
      <c r="G90" s="20"/>
      <c r="H90" s="20"/>
      <c r="I90" s="20"/>
      <c r="J90" s="20"/>
      <c r="K90" s="20"/>
      <c r="L90" s="20"/>
      <c r="M90" s="20"/>
      <c r="N90" s="20"/>
      <c r="O90" s="20"/>
    </row>
    <row r="91" spans="1:15" x14ac:dyDescent="0.3">
      <c r="A91" s="155"/>
      <c r="B91" s="18"/>
      <c r="C91" s="19"/>
      <c r="D91" s="20"/>
      <c r="E91" s="20"/>
      <c r="F91" s="20"/>
      <c r="G91" s="20"/>
      <c r="H91" s="20"/>
      <c r="I91" s="20"/>
      <c r="J91" s="20"/>
      <c r="K91" s="20"/>
      <c r="L91" s="20"/>
      <c r="M91" s="20"/>
      <c r="N91" s="20"/>
      <c r="O91" s="20"/>
    </row>
    <row r="92" spans="1:15" x14ac:dyDescent="0.3">
      <c r="A92" s="155"/>
      <c r="B92" s="18"/>
      <c r="C92" s="19"/>
      <c r="D92" s="20"/>
      <c r="E92" s="20"/>
      <c r="F92" s="20"/>
      <c r="G92" s="20"/>
      <c r="H92" s="20"/>
      <c r="I92" s="20"/>
      <c r="J92" s="20"/>
      <c r="K92" s="20"/>
      <c r="L92" s="20"/>
      <c r="M92" s="20"/>
      <c r="N92" s="20"/>
      <c r="O92" s="20"/>
    </row>
    <row r="93" spans="1:15" x14ac:dyDescent="0.3">
      <c r="A93" s="155"/>
      <c r="B93" s="18"/>
      <c r="C93" s="19"/>
      <c r="D93" s="20"/>
      <c r="E93" s="20"/>
      <c r="F93" s="20"/>
      <c r="G93" s="20"/>
      <c r="H93" s="20"/>
      <c r="I93" s="20"/>
      <c r="J93" s="20"/>
      <c r="K93" s="20"/>
      <c r="L93" s="20"/>
      <c r="M93" s="20"/>
      <c r="N93" s="20"/>
      <c r="O93" s="20"/>
    </row>
    <row r="94" spans="1:15" x14ac:dyDescent="0.3">
      <c r="A94" s="155"/>
      <c r="B94" s="18"/>
      <c r="C94" s="19"/>
      <c r="D94" s="20"/>
      <c r="E94" s="20"/>
      <c r="F94" s="20"/>
      <c r="G94" s="20"/>
      <c r="H94" s="20"/>
      <c r="I94" s="20"/>
      <c r="J94" s="20"/>
      <c r="K94" s="20"/>
      <c r="L94" s="20"/>
      <c r="M94" s="20"/>
      <c r="N94" s="20"/>
      <c r="O94" s="20"/>
    </row>
    <row r="95" spans="1:15" x14ac:dyDescent="0.3">
      <c r="A95" s="155"/>
      <c r="B95" s="18"/>
      <c r="C95" s="19"/>
      <c r="D95" s="20"/>
      <c r="E95" s="20"/>
      <c r="F95" s="20"/>
      <c r="G95" s="20"/>
      <c r="H95" s="20"/>
      <c r="I95" s="20"/>
      <c r="J95" s="20"/>
      <c r="K95" s="20"/>
      <c r="L95" s="20"/>
      <c r="M95" s="20"/>
      <c r="N95" s="20"/>
      <c r="O95" s="20"/>
    </row>
    <row r="96" spans="1:15" x14ac:dyDescent="0.3">
      <c r="A96" s="155"/>
      <c r="B96" s="18"/>
      <c r="C96" s="19"/>
      <c r="D96" s="20"/>
      <c r="E96" s="20"/>
      <c r="F96" s="20"/>
      <c r="G96" s="20"/>
      <c r="H96" s="20"/>
      <c r="I96" s="20"/>
      <c r="J96" s="20"/>
      <c r="K96" s="20"/>
      <c r="L96" s="20"/>
      <c r="M96" s="20"/>
      <c r="N96" s="20"/>
      <c r="O96" s="20"/>
    </row>
    <row r="97" spans="1:15" x14ac:dyDescent="0.3">
      <c r="A97" s="155"/>
      <c r="B97" s="18"/>
      <c r="C97" s="19"/>
      <c r="D97" s="20"/>
      <c r="E97" s="20"/>
      <c r="F97" s="20"/>
      <c r="G97" s="20"/>
      <c r="H97" s="20"/>
      <c r="I97" s="20"/>
      <c r="J97" s="20"/>
      <c r="K97" s="20"/>
      <c r="L97" s="20"/>
      <c r="M97" s="20"/>
      <c r="N97" s="20"/>
      <c r="O97" s="20"/>
    </row>
    <row r="98" spans="1:15" x14ac:dyDescent="0.3">
      <c r="A98" s="155"/>
      <c r="B98" s="18"/>
      <c r="C98" s="19"/>
      <c r="D98" s="20"/>
      <c r="E98" s="20"/>
      <c r="F98" s="20"/>
      <c r="G98" s="20"/>
      <c r="H98" s="20"/>
      <c r="I98" s="20"/>
      <c r="J98" s="20"/>
      <c r="K98" s="20"/>
      <c r="L98" s="20"/>
      <c r="M98" s="20"/>
      <c r="N98" s="20"/>
      <c r="O98" s="20"/>
    </row>
    <row r="99" spans="1:15" x14ac:dyDescent="0.3">
      <c r="A99" s="155"/>
      <c r="B99" s="18"/>
      <c r="C99" s="19"/>
      <c r="D99" s="20"/>
      <c r="E99" s="20"/>
      <c r="F99" s="20"/>
      <c r="G99" s="20"/>
      <c r="H99" s="20"/>
      <c r="I99" s="20"/>
      <c r="J99" s="20"/>
      <c r="K99" s="20"/>
      <c r="L99" s="20"/>
      <c r="M99" s="20"/>
      <c r="N99" s="20"/>
      <c r="O99" s="20"/>
    </row>
    <row r="100" spans="1:15" x14ac:dyDescent="0.3">
      <c r="A100" s="155"/>
      <c r="B100" s="18"/>
      <c r="C100" s="19"/>
      <c r="D100" s="20"/>
      <c r="E100" s="20"/>
      <c r="F100" s="20"/>
      <c r="G100" s="20"/>
      <c r="H100" s="20"/>
      <c r="I100" s="20"/>
      <c r="J100" s="20"/>
      <c r="K100" s="20"/>
      <c r="L100" s="20"/>
      <c r="M100" s="20"/>
      <c r="N100" s="20"/>
      <c r="O100" s="20"/>
    </row>
    <row r="101" spans="1:15" x14ac:dyDescent="0.3">
      <c r="A101" s="155"/>
      <c r="B101" s="18"/>
      <c r="C101" s="19"/>
      <c r="D101" s="20"/>
      <c r="E101" s="20"/>
      <c r="F101" s="20"/>
      <c r="G101" s="20"/>
      <c r="H101" s="20"/>
      <c r="I101" s="20"/>
      <c r="J101" s="20"/>
      <c r="K101" s="20"/>
      <c r="L101" s="20"/>
      <c r="M101" s="20"/>
      <c r="N101" s="20"/>
      <c r="O101" s="20"/>
    </row>
    <row r="102" spans="1:15" x14ac:dyDescent="0.3">
      <c r="A102" s="155"/>
      <c r="B102" s="18"/>
      <c r="C102" s="19"/>
      <c r="D102" s="20"/>
      <c r="E102" s="20"/>
      <c r="F102" s="20"/>
      <c r="G102" s="20"/>
      <c r="H102" s="20"/>
      <c r="I102" s="20"/>
      <c r="J102" s="20"/>
      <c r="K102" s="20"/>
      <c r="L102" s="20"/>
      <c r="M102" s="20"/>
      <c r="N102" s="20"/>
      <c r="O102" s="20"/>
    </row>
    <row r="103" spans="1:15" x14ac:dyDescent="0.3">
      <c r="A103" s="155"/>
      <c r="B103" s="18"/>
      <c r="C103" s="19"/>
      <c r="D103" s="20"/>
      <c r="E103" s="20"/>
      <c r="F103" s="20"/>
      <c r="G103" s="20"/>
      <c r="H103" s="20"/>
      <c r="I103" s="20"/>
      <c r="J103" s="20"/>
      <c r="K103" s="20"/>
      <c r="L103" s="20"/>
      <c r="M103" s="20"/>
      <c r="N103" s="20"/>
      <c r="O103" s="20"/>
    </row>
    <row r="104" spans="1:15" x14ac:dyDescent="0.3">
      <c r="A104" s="155"/>
      <c r="B104" s="18"/>
      <c r="C104" s="19"/>
      <c r="D104" s="20"/>
      <c r="E104" s="20"/>
      <c r="F104" s="20"/>
      <c r="G104" s="20"/>
      <c r="H104" s="20"/>
      <c r="I104" s="20"/>
      <c r="J104" s="20"/>
      <c r="K104" s="20"/>
      <c r="L104" s="20"/>
      <c r="M104" s="20"/>
      <c r="N104" s="20"/>
      <c r="O104" s="20"/>
    </row>
    <row r="105" spans="1:15" x14ac:dyDescent="0.3">
      <c r="A105" s="155"/>
      <c r="B105" s="18"/>
      <c r="C105" s="19"/>
      <c r="D105" s="20"/>
      <c r="E105" s="20"/>
      <c r="F105" s="20"/>
      <c r="G105" s="20"/>
      <c r="H105" s="20"/>
      <c r="I105" s="20"/>
      <c r="J105" s="20"/>
      <c r="K105" s="20"/>
      <c r="L105" s="20"/>
      <c r="M105" s="20"/>
      <c r="N105" s="20"/>
      <c r="O105" s="20"/>
    </row>
    <row r="106" spans="1:15" x14ac:dyDescent="0.3">
      <c r="A106" s="155"/>
      <c r="B106" s="18"/>
      <c r="C106" s="19"/>
      <c r="D106" s="20"/>
      <c r="E106" s="20"/>
      <c r="F106" s="20"/>
      <c r="G106" s="20"/>
      <c r="H106" s="20"/>
      <c r="I106" s="20"/>
      <c r="J106" s="20"/>
      <c r="K106" s="20"/>
      <c r="L106" s="20"/>
      <c r="M106" s="20"/>
      <c r="N106" s="20"/>
      <c r="O106" s="20"/>
    </row>
    <row r="107" spans="1:15" x14ac:dyDescent="0.3">
      <c r="A107" s="155"/>
      <c r="B107" s="18"/>
      <c r="C107" s="19"/>
      <c r="D107" s="20"/>
      <c r="E107" s="20"/>
      <c r="F107" s="20"/>
      <c r="G107" s="20"/>
      <c r="H107" s="20"/>
      <c r="I107" s="20"/>
      <c r="J107" s="20"/>
      <c r="K107" s="20"/>
      <c r="L107" s="20"/>
      <c r="M107" s="20"/>
      <c r="N107" s="20"/>
      <c r="O107" s="20"/>
    </row>
    <row r="108" spans="1:15" x14ac:dyDescent="0.3">
      <c r="A108" s="155"/>
      <c r="B108" s="18"/>
      <c r="C108" s="19"/>
      <c r="D108" s="20"/>
      <c r="E108" s="20"/>
      <c r="F108" s="20"/>
      <c r="G108" s="20"/>
      <c r="H108" s="20"/>
      <c r="I108" s="20"/>
      <c r="J108" s="20"/>
      <c r="K108" s="20"/>
      <c r="L108" s="20"/>
      <c r="M108" s="20"/>
      <c r="N108" s="20"/>
      <c r="O108" s="20"/>
    </row>
    <row r="109" spans="1:15" x14ac:dyDescent="0.3">
      <c r="A109" s="155"/>
      <c r="B109" s="18"/>
      <c r="C109" s="19"/>
      <c r="D109" s="20"/>
      <c r="E109" s="20"/>
      <c r="F109" s="20"/>
      <c r="G109" s="20"/>
      <c r="H109" s="20"/>
      <c r="I109" s="20"/>
      <c r="J109" s="20"/>
      <c r="K109" s="20"/>
      <c r="L109" s="20"/>
      <c r="M109" s="20"/>
      <c r="N109" s="20"/>
      <c r="O109" s="20"/>
    </row>
    <row r="110" spans="1:15" x14ac:dyDescent="0.3">
      <c r="A110" s="155"/>
      <c r="B110" s="18"/>
      <c r="C110" s="19"/>
      <c r="D110" s="20"/>
      <c r="E110" s="20"/>
      <c r="F110" s="20"/>
      <c r="G110" s="20"/>
      <c r="H110" s="20"/>
      <c r="I110" s="20"/>
      <c r="J110" s="20"/>
      <c r="K110" s="20"/>
      <c r="L110" s="20"/>
      <c r="M110" s="20"/>
      <c r="N110" s="20"/>
      <c r="O110" s="20"/>
    </row>
    <row r="111" spans="1:15" x14ac:dyDescent="0.3">
      <c r="A111" s="155"/>
      <c r="B111" s="18"/>
      <c r="C111" s="19"/>
      <c r="D111" s="20"/>
      <c r="E111" s="20"/>
      <c r="F111" s="20"/>
      <c r="G111" s="20"/>
      <c r="H111" s="20"/>
      <c r="I111" s="20"/>
      <c r="J111" s="20"/>
      <c r="K111" s="20"/>
      <c r="L111" s="20"/>
      <c r="M111" s="20"/>
      <c r="N111" s="20"/>
      <c r="O111" s="20"/>
    </row>
    <row r="112" spans="1:15" x14ac:dyDescent="0.3">
      <c r="A112" s="155"/>
      <c r="B112" s="18"/>
      <c r="C112" s="19"/>
      <c r="D112" s="20"/>
      <c r="E112" s="20"/>
      <c r="F112" s="20"/>
      <c r="G112" s="20"/>
      <c r="H112" s="20"/>
      <c r="I112" s="20"/>
      <c r="J112" s="20"/>
      <c r="K112" s="20"/>
      <c r="L112" s="20"/>
      <c r="M112" s="20"/>
      <c r="N112" s="20"/>
      <c r="O112" s="20"/>
    </row>
    <row r="113" spans="1:15" x14ac:dyDescent="0.3">
      <c r="A113" s="155"/>
      <c r="B113" s="18"/>
      <c r="C113" s="19"/>
      <c r="D113" s="20"/>
      <c r="E113" s="20"/>
      <c r="F113" s="20"/>
      <c r="G113" s="20"/>
      <c r="H113" s="20"/>
      <c r="I113" s="20"/>
      <c r="J113" s="20"/>
      <c r="K113" s="20"/>
      <c r="L113" s="20"/>
      <c r="M113" s="20"/>
      <c r="N113" s="20"/>
      <c r="O113" s="20"/>
    </row>
    <row r="114" spans="1:15" x14ac:dyDescent="0.3">
      <c r="A114" s="155"/>
      <c r="B114" s="18"/>
      <c r="C114" s="19"/>
      <c r="D114" s="20"/>
      <c r="E114" s="20"/>
      <c r="F114" s="20"/>
      <c r="G114" s="20"/>
      <c r="H114" s="20"/>
      <c r="I114" s="20"/>
      <c r="J114" s="20"/>
      <c r="K114" s="20"/>
      <c r="L114" s="20"/>
      <c r="M114" s="20"/>
      <c r="N114" s="20"/>
      <c r="O114" s="20"/>
    </row>
    <row r="115" spans="1:15" x14ac:dyDescent="0.3">
      <c r="A115" s="155"/>
      <c r="B115" s="18"/>
      <c r="C115" s="19"/>
      <c r="D115" s="20"/>
      <c r="E115" s="20"/>
      <c r="F115" s="20"/>
      <c r="G115" s="20"/>
      <c r="H115" s="20"/>
      <c r="I115" s="20"/>
      <c r="J115" s="20"/>
      <c r="K115" s="20"/>
      <c r="L115" s="20"/>
      <c r="M115" s="20"/>
      <c r="N115" s="20"/>
      <c r="O115" s="20"/>
    </row>
    <row r="116" spans="1:15" x14ac:dyDescent="0.3">
      <c r="A116" s="155"/>
      <c r="B116" s="18"/>
      <c r="C116" s="19"/>
      <c r="D116" s="20"/>
      <c r="E116" s="20"/>
      <c r="F116" s="20"/>
      <c r="G116" s="20"/>
      <c r="H116" s="20"/>
      <c r="I116" s="20"/>
      <c r="J116" s="20"/>
      <c r="K116" s="20"/>
      <c r="L116" s="20"/>
      <c r="M116" s="20"/>
      <c r="N116" s="20"/>
      <c r="O116" s="20"/>
    </row>
    <row r="117" spans="1:15" x14ac:dyDescent="0.3">
      <c r="A117" s="155"/>
      <c r="B117" s="18"/>
      <c r="C117" s="19"/>
      <c r="D117" s="20"/>
      <c r="E117" s="20"/>
      <c r="F117" s="20"/>
      <c r="G117" s="20"/>
      <c r="H117" s="20"/>
      <c r="I117" s="20"/>
      <c r="J117" s="20"/>
      <c r="K117" s="20"/>
      <c r="L117" s="20"/>
      <c r="M117" s="20"/>
      <c r="N117" s="20"/>
      <c r="O117" s="20"/>
    </row>
    <row r="118" spans="1:15" x14ac:dyDescent="0.3">
      <c r="A118" s="155"/>
      <c r="B118" s="18"/>
      <c r="C118" s="19"/>
      <c r="D118" s="20"/>
      <c r="E118" s="20"/>
      <c r="F118" s="20"/>
      <c r="G118" s="20"/>
      <c r="H118" s="20"/>
      <c r="I118" s="20"/>
      <c r="J118" s="20"/>
      <c r="K118" s="20"/>
      <c r="L118" s="20"/>
      <c r="M118" s="20"/>
      <c r="N118" s="20"/>
      <c r="O118" s="20"/>
    </row>
    <row r="119" spans="1:15" x14ac:dyDescent="0.3">
      <c r="A119" s="155"/>
      <c r="B119" s="18"/>
      <c r="C119" s="19"/>
      <c r="D119" s="20"/>
      <c r="E119" s="20"/>
      <c r="F119" s="20"/>
      <c r="G119" s="20"/>
      <c r="H119" s="20"/>
      <c r="I119" s="20"/>
      <c r="J119" s="20"/>
      <c r="K119" s="20"/>
      <c r="L119" s="20"/>
      <c r="M119" s="20"/>
      <c r="N119" s="20"/>
      <c r="O119" s="20"/>
    </row>
    <row r="120" spans="1:15" x14ac:dyDescent="0.3">
      <c r="A120" s="155"/>
      <c r="B120" s="18"/>
      <c r="C120" s="19"/>
      <c r="D120" s="20"/>
      <c r="E120" s="20"/>
      <c r="F120" s="20"/>
      <c r="G120" s="20"/>
      <c r="H120" s="20"/>
      <c r="I120" s="20"/>
      <c r="J120" s="20"/>
      <c r="K120" s="20"/>
      <c r="L120" s="20"/>
      <c r="M120" s="20"/>
      <c r="N120" s="20"/>
      <c r="O120" s="20"/>
    </row>
    <row r="121" spans="1:15" x14ac:dyDescent="0.3">
      <c r="A121" s="155"/>
      <c r="B121" s="18"/>
      <c r="C121" s="19"/>
      <c r="D121" s="20"/>
      <c r="E121" s="20"/>
      <c r="F121" s="20"/>
      <c r="G121" s="20"/>
      <c r="H121" s="20"/>
      <c r="I121" s="20"/>
      <c r="J121" s="20"/>
      <c r="K121" s="20"/>
      <c r="L121" s="20"/>
      <c r="M121" s="20"/>
      <c r="N121" s="20"/>
      <c r="O121" s="20"/>
    </row>
    <row r="122" spans="1:15" x14ac:dyDescent="0.3">
      <c r="A122" s="155"/>
      <c r="B122" s="18"/>
      <c r="C122" s="19"/>
      <c r="D122" s="20"/>
      <c r="E122" s="20"/>
      <c r="F122" s="20"/>
      <c r="G122" s="20"/>
      <c r="H122" s="20"/>
      <c r="I122" s="20"/>
      <c r="J122" s="20"/>
      <c r="K122" s="20"/>
      <c r="L122" s="20"/>
      <c r="M122" s="20"/>
      <c r="N122" s="20"/>
      <c r="O122" s="20"/>
    </row>
    <row r="123" spans="1:15" x14ac:dyDescent="0.3">
      <c r="A123" s="155"/>
      <c r="B123" s="18"/>
      <c r="C123" s="19"/>
      <c r="D123" s="20"/>
      <c r="E123" s="20"/>
      <c r="F123" s="20"/>
      <c r="G123" s="20"/>
      <c r="H123" s="20"/>
      <c r="I123" s="20"/>
      <c r="J123" s="20"/>
      <c r="K123" s="20"/>
      <c r="L123" s="20"/>
      <c r="M123" s="20"/>
      <c r="N123" s="20"/>
      <c r="O123" s="20"/>
    </row>
    <row r="124" spans="1:15" x14ac:dyDescent="0.3">
      <c r="A124" s="155"/>
      <c r="B124" s="18"/>
      <c r="C124" s="19"/>
      <c r="D124" s="20"/>
      <c r="E124" s="20"/>
      <c r="F124" s="20"/>
      <c r="G124" s="20"/>
      <c r="H124" s="20"/>
      <c r="I124" s="20"/>
      <c r="J124" s="20"/>
      <c r="K124" s="20"/>
      <c r="L124" s="20"/>
      <c r="M124" s="20"/>
      <c r="N124" s="20"/>
      <c r="O124" s="20"/>
    </row>
    <row r="125" spans="1:15" x14ac:dyDescent="0.3">
      <c r="A125" s="155"/>
      <c r="B125" s="18"/>
      <c r="C125" s="19"/>
      <c r="D125" s="20"/>
      <c r="E125" s="20"/>
      <c r="F125" s="20"/>
      <c r="G125" s="20"/>
      <c r="H125" s="20"/>
      <c r="I125" s="20"/>
      <c r="J125" s="20"/>
      <c r="K125" s="20"/>
      <c r="L125" s="20"/>
      <c r="M125" s="20"/>
      <c r="N125" s="20"/>
      <c r="O125" s="20"/>
    </row>
    <row r="126" spans="1:15" x14ac:dyDescent="0.3">
      <c r="A126" s="155"/>
      <c r="B126" s="18"/>
      <c r="C126" s="19"/>
      <c r="D126" s="20"/>
      <c r="E126" s="20"/>
      <c r="F126" s="20"/>
      <c r="G126" s="20"/>
      <c r="H126" s="20"/>
      <c r="I126" s="20"/>
      <c r="J126" s="20"/>
      <c r="K126" s="20"/>
      <c r="L126" s="20"/>
      <c r="M126" s="20"/>
      <c r="N126" s="20"/>
      <c r="O126" s="20"/>
    </row>
    <row r="127" spans="1:15" x14ac:dyDescent="0.3">
      <c r="A127" s="155"/>
      <c r="B127" s="18"/>
      <c r="C127" s="19"/>
      <c r="D127" s="20"/>
      <c r="E127" s="20"/>
      <c r="F127" s="20"/>
      <c r="G127" s="20"/>
      <c r="H127" s="20"/>
      <c r="I127" s="20"/>
      <c r="J127" s="20"/>
      <c r="K127" s="20"/>
      <c r="L127" s="20"/>
      <c r="M127" s="20"/>
      <c r="N127" s="20"/>
      <c r="O127" s="20"/>
    </row>
    <row r="128" spans="1:15" x14ac:dyDescent="0.3">
      <c r="A128" s="155"/>
      <c r="B128" s="18"/>
      <c r="C128" s="19"/>
      <c r="D128" s="20"/>
      <c r="E128" s="20"/>
      <c r="F128" s="20"/>
      <c r="G128" s="20"/>
      <c r="H128" s="20"/>
      <c r="I128" s="20"/>
      <c r="J128" s="20"/>
      <c r="K128" s="20"/>
      <c r="L128" s="20"/>
      <c r="M128" s="20"/>
      <c r="N128" s="20"/>
      <c r="O128" s="20"/>
    </row>
    <row r="129" spans="1:15" x14ac:dyDescent="0.3">
      <c r="A129" s="155"/>
      <c r="B129" s="18"/>
      <c r="C129" s="19"/>
      <c r="D129" s="20"/>
      <c r="E129" s="20"/>
      <c r="F129" s="20"/>
      <c r="G129" s="20"/>
      <c r="H129" s="20"/>
      <c r="I129" s="20"/>
      <c r="J129" s="20"/>
      <c r="K129" s="20"/>
      <c r="L129" s="20"/>
      <c r="M129" s="20"/>
      <c r="N129" s="20"/>
      <c r="O129" s="20"/>
    </row>
    <row r="130" spans="1:15" x14ac:dyDescent="0.3">
      <c r="A130" s="155"/>
      <c r="B130" s="18"/>
      <c r="C130" s="19"/>
      <c r="D130" s="20"/>
      <c r="E130" s="20"/>
      <c r="F130" s="20"/>
      <c r="G130" s="20"/>
      <c r="H130" s="20"/>
      <c r="I130" s="20"/>
      <c r="J130" s="20"/>
      <c r="K130" s="20"/>
      <c r="L130" s="20"/>
      <c r="M130" s="20"/>
      <c r="N130" s="20"/>
      <c r="O130" s="20"/>
    </row>
    <row r="131" spans="1:15" x14ac:dyDescent="0.3">
      <c r="A131" s="155"/>
      <c r="B131" s="18"/>
      <c r="C131" s="19"/>
      <c r="D131" s="20"/>
      <c r="E131" s="20"/>
      <c r="F131" s="20"/>
      <c r="G131" s="20"/>
      <c r="H131" s="20"/>
      <c r="I131" s="20"/>
      <c r="J131" s="20"/>
      <c r="K131" s="20"/>
      <c r="L131" s="20"/>
      <c r="M131" s="20"/>
      <c r="N131" s="20"/>
      <c r="O131" s="20"/>
    </row>
    <row r="132" spans="1:15" x14ac:dyDescent="0.3">
      <c r="A132" s="155"/>
      <c r="B132" s="18"/>
      <c r="C132" s="19"/>
      <c r="D132" s="20"/>
      <c r="E132" s="20"/>
      <c r="F132" s="20"/>
      <c r="G132" s="20"/>
      <c r="H132" s="20"/>
      <c r="I132" s="20"/>
      <c r="J132" s="20"/>
      <c r="K132" s="20"/>
      <c r="L132" s="20"/>
      <c r="M132" s="20"/>
      <c r="N132" s="20"/>
      <c r="O132" s="20"/>
    </row>
    <row r="133" spans="1:15" x14ac:dyDescent="0.3">
      <c r="A133" s="155"/>
      <c r="B133" s="18"/>
      <c r="C133" s="19"/>
      <c r="D133" s="20"/>
      <c r="E133" s="20"/>
      <c r="F133" s="20"/>
      <c r="G133" s="20"/>
      <c r="H133" s="20"/>
      <c r="I133" s="20"/>
      <c r="J133" s="20"/>
      <c r="K133" s="20"/>
      <c r="L133" s="20"/>
      <c r="M133" s="20"/>
      <c r="N133" s="20"/>
      <c r="O133" s="20"/>
    </row>
    <row r="134" spans="1:15" x14ac:dyDescent="0.3">
      <c r="A134" s="155"/>
      <c r="B134" s="18"/>
      <c r="C134" s="19"/>
      <c r="D134" s="20"/>
      <c r="E134" s="20"/>
      <c r="F134" s="20"/>
      <c r="G134" s="20"/>
      <c r="H134" s="20"/>
      <c r="I134" s="20"/>
      <c r="J134" s="20"/>
      <c r="K134" s="20"/>
      <c r="L134" s="20"/>
      <c r="M134" s="20"/>
      <c r="N134" s="20"/>
      <c r="O134" s="20"/>
    </row>
    <row r="135" spans="1:15" x14ac:dyDescent="0.3">
      <c r="A135" s="155"/>
      <c r="B135" s="18"/>
      <c r="C135" s="19"/>
      <c r="D135" s="20"/>
      <c r="E135" s="20"/>
      <c r="F135" s="20"/>
      <c r="G135" s="20"/>
      <c r="H135" s="20"/>
      <c r="I135" s="20"/>
      <c r="J135" s="20"/>
      <c r="K135" s="20"/>
      <c r="L135" s="20"/>
      <c r="M135" s="20"/>
      <c r="N135" s="20"/>
      <c r="O135" s="20"/>
    </row>
    <row r="136" spans="1:15" x14ac:dyDescent="0.3">
      <c r="A136" s="155"/>
      <c r="B136" s="18"/>
      <c r="C136" s="19"/>
      <c r="D136" s="20"/>
      <c r="E136" s="20"/>
      <c r="F136" s="20"/>
      <c r="G136" s="20"/>
      <c r="H136" s="20"/>
      <c r="I136" s="20"/>
      <c r="J136" s="20"/>
      <c r="K136" s="20"/>
      <c r="L136" s="20"/>
      <c r="M136" s="20"/>
      <c r="N136" s="20"/>
      <c r="O136" s="20"/>
    </row>
    <row r="137" spans="1:15" x14ac:dyDescent="0.3">
      <c r="A137" s="155"/>
      <c r="B137" s="18"/>
      <c r="C137" s="19"/>
      <c r="D137" s="20"/>
      <c r="E137" s="20"/>
      <c r="F137" s="20"/>
      <c r="G137" s="20"/>
      <c r="H137" s="20"/>
      <c r="I137" s="20"/>
      <c r="J137" s="20"/>
      <c r="K137" s="20"/>
      <c r="L137" s="20"/>
      <c r="M137" s="20"/>
      <c r="N137" s="20"/>
      <c r="O137" s="20"/>
    </row>
    <row r="138" spans="1:15" x14ac:dyDescent="0.3">
      <c r="A138" s="155"/>
      <c r="B138" s="18"/>
      <c r="C138" s="19"/>
      <c r="D138" s="20"/>
      <c r="E138" s="20"/>
      <c r="F138" s="20"/>
      <c r="G138" s="20"/>
      <c r="H138" s="20"/>
      <c r="I138" s="20"/>
      <c r="J138" s="20"/>
      <c r="K138" s="20"/>
      <c r="L138" s="20"/>
      <c r="M138" s="20"/>
      <c r="N138" s="20"/>
      <c r="O138" s="20"/>
    </row>
    <row r="139" spans="1:15" x14ac:dyDescent="0.3">
      <c r="A139" s="155"/>
      <c r="B139" s="18"/>
      <c r="C139" s="19"/>
      <c r="D139" s="20"/>
      <c r="E139" s="20"/>
      <c r="F139" s="20"/>
      <c r="G139" s="20"/>
      <c r="H139" s="20"/>
      <c r="I139" s="20"/>
      <c r="J139" s="20"/>
      <c r="K139" s="20"/>
      <c r="L139" s="20"/>
      <c r="M139" s="20"/>
      <c r="N139" s="20"/>
      <c r="O139" s="20"/>
    </row>
    <row r="140" spans="1:15" x14ac:dyDescent="0.3">
      <c r="A140" s="155"/>
      <c r="B140" s="18"/>
      <c r="C140" s="19"/>
      <c r="D140" s="20"/>
      <c r="E140" s="20"/>
      <c r="F140" s="20"/>
      <c r="G140" s="20"/>
      <c r="H140" s="20"/>
      <c r="I140" s="20"/>
      <c r="J140" s="20"/>
      <c r="K140" s="20"/>
      <c r="L140" s="20"/>
      <c r="M140" s="20"/>
      <c r="N140" s="20"/>
      <c r="O140" s="20"/>
    </row>
    <row r="141" spans="1:15" x14ac:dyDescent="0.3">
      <c r="A141" s="155"/>
      <c r="B141" s="18"/>
      <c r="C141" s="19"/>
      <c r="D141" s="20"/>
      <c r="E141" s="20"/>
      <c r="F141" s="20"/>
      <c r="G141" s="20"/>
      <c r="H141" s="20"/>
      <c r="I141" s="20"/>
      <c r="J141" s="20"/>
      <c r="K141" s="20"/>
      <c r="L141" s="20"/>
      <c r="M141" s="20"/>
      <c r="N141" s="20"/>
      <c r="O141" s="20"/>
    </row>
    <row r="142" spans="1:15" x14ac:dyDescent="0.3">
      <c r="A142" s="155"/>
      <c r="B142" s="18"/>
      <c r="C142" s="19"/>
      <c r="D142" s="20"/>
      <c r="E142" s="20"/>
      <c r="F142" s="20"/>
      <c r="G142" s="20"/>
      <c r="H142" s="20"/>
      <c r="I142" s="20"/>
      <c r="J142" s="20"/>
      <c r="K142" s="20"/>
      <c r="L142" s="20"/>
      <c r="M142" s="20"/>
      <c r="N142" s="20"/>
      <c r="O142" s="20"/>
    </row>
    <row r="143" spans="1:15" x14ac:dyDescent="0.3">
      <c r="A143" s="155"/>
      <c r="B143" s="18"/>
      <c r="C143" s="19"/>
      <c r="D143" s="20"/>
      <c r="E143" s="20"/>
      <c r="F143" s="20"/>
      <c r="G143" s="20"/>
      <c r="H143" s="20"/>
      <c r="I143" s="20"/>
      <c r="J143" s="20"/>
      <c r="K143" s="20"/>
      <c r="L143" s="20"/>
      <c r="M143" s="20"/>
      <c r="N143" s="20"/>
      <c r="O143" s="20"/>
    </row>
    <row r="144" spans="1:15" x14ac:dyDescent="0.3">
      <c r="A144" s="155"/>
      <c r="B144" s="18"/>
      <c r="C144" s="19"/>
      <c r="D144" s="20"/>
      <c r="E144" s="20"/>
      <c r="F144" s="20"/>
      <c r="G144" s="20"/>
      <c r="H144" s="20"/>
      <c r="I144" s="20"/>
      <c r="J144" s="20"/>
      <c r="K144" s="20"/>
      <c r="L144" s="20"/>
      <c r="M144" s="20"/>
      <c r="N144" s="20"/>
      <c r="O144" s="20"/>
    </row>
    <row r="145" spans="1:15" x14ac:dyDescent="0.3">
      <c r="A145" s="155"/>
      <c r="B145" s="18"/>
      <c r="C145" s="19"/>
      <c r="D145" s="20"/>
      <c r="E145" s="20"/>
      <c r="F145" s="20"/>
      <c r="G145" s="20"/>
      <c r="H145" s="20"/>
      <c r="I145" s="20"/>
      <c r="J145" s="20"/>
      <c r="K145" s="20"/>
      <c r="L145" s="20"/>
      <c r="M145" s="20"/>
      <c r="N145" s="20"/>
      <c r="O145" s="20"/>
    </row>
    <row r="146" spans="1:15" x14ac:dyDescent="0.3">
      <c r="A146" s="155"/>
      <c r="B146" s="18"/>
      <c r="C146" s="19"/>
      <c r="D146" s="20"/>
      <c r="E146" s="20"/>
      <c r="F146" s="20"/>
      <c r="G146" s="20"/>
      <c r="H146" s="20"/>
      <c r="I146" s="20"/>
      <c r="J146" s="20"/>
      <c r="K146" s="20"/>
      <c r="L146" s="20"/>
      <c r="M146" s="20"/>
      <c r="N146" s="20"/>
      <c r="O146" s="20"/>
    </row>
    <row r="147" spans="1:15" x14ac:dyDescent="0.3">
      <c r="A147" s="155"/>
      <c r="B147" s="18"/>
      <c r="C147" s="19"/>
      <c r="D147" s="20"/>
      <c r="E147" s="20"/>
      <c r="F147" s="20"/>
      <c r="G147" s="20"/>
      <c r="H147" s="20"/>
      <c r="I147" s="20"/>
      <c r="J147" s="20"/>
      <c r="K147" s="20"/>
      <c r="L147" s="20"/>
      <c r="M147" s="20"/>
      <c r="N147" s="20"/>
      <c r="O147" s="20"/>
    </row>
    <row r="148" spans="1:15" x14ac:dyDescent="0.3">
      <c r="A148" s="155"/>
      <c r="B148" s="18"/>
      <c r="C148" s="19"/>
      <c r="D148" s="20"/>
      <c r="E148" s="20"/>
      <c r="F148" s="20"/>
      <c r="G148" s="20"/>
      <c r="H148" s="20"/>
      <c r="I148" s="20"/>
      <c r="J148" s="20"/>
      <c r="K148" s="20"/>
      <c r="L148" s="20"/>
      <c r="M148" s="20"/>
      <c r="N148" s="20"/>
      <c r="O148" s="20"/>
    </row>
    <row r="149" spans="1:15" x14ac:dyDescent="0.3">
      <c r="A149" s="155"/>
      <c r="B149" s="18"/>
      <c r="C149" s="19"/>
      <c r="D149" s="20"/>
      <c r="E149" s="20"/>
      <c r="F149" s="20"/>
      <c r="G149" s="20"/>
      <c r="H149" s="20"/>
      <c r="I149" s="20"/>
      <c r="J149" s="20"/>
      <c r="K149" s="20"/>
      <c r="L149" s="20"/>
      <c r="M149" s="20"/>
      <c r="N149" s="20"/>
      <c r="O149" s="20"/>
    </row>
    <row r="150" spans="1:15" x14ac:dyDescent="0.3">
      <c r="A150" s="155"/>
      <c r="B150" s="18"/>
      <c r="C150" s="19"/>
      <c r="D150" s="20"/>
      <c r="E150" s="20"/>
      <c r="F150" s="20"/>
      <c r="G150" s="20"/>
      <c r="H150" s="20"/>
      <c r="I150" s="20"/>
      <c r="J150" s="20"/>
      <c r="K150" s="20"/>
      <c r="L150" s="20"/>
      <c r="M150" s="20"/>
      <c r="N150" s="20"/>
      <c r="O150" s="20"/>
    </row>
    <row r="151" spans="1:15" x14ac:dyDescent="0.3">
      <c r="A151" s="155"/>
      <c r="B151" s="18"/>
      <c r="C151" s="19"/>
      <c r="D151" s="20"/>
      <c r="E151" s="20"/>
      <c r="F151" s="20"/>
      <c r="G151" s="20"/>
      <c r="H151" s="20"/>
      <c r="I151" s="20"/>
      <c r="J151" s="20"/>
      <c r="K151" s="20"/>
      <c r="L151" s="20"/>
      <c r="M151" s="20"/>
      <c r="N151" s="20"/>
      <c r="O151" s="20"/>
    </row>
    <row r="152" spans="1:15" x14ac:dyDescent="0.3">
      <c r="A152" s="155"/>
      <c r="B152" s="18"/>
      <c r="C152" s="19"/>
      <c r="D152" s="20"/>
      <c r="E152" s="20"/>
      <c r="F152" s="20"/>
      <c r="G152" s="20"/>
      <c r="H152" s="20"/>
      <c r="I152" s="20"/>
      <c r="J152" s="20"/>
      <c r="K152" s="20"/>
      <c r="L152" s="20"/>
      <c r="M152" s="20"/>
      <c r="N152" s="20"/>
      <c r="O152" s="20"/>
    </row>
    <row r="153" spans="1:15" x14ac:dyDescent="0.3">
      <c r="A153" s="155"/>
      <c r="B153" s="18"/>
      <c r="C153" s="19"/>
      <c r="D153" s="20"/>
      <c r="E153" s="20"/>
      <c r="F153" s="20"/>
      <c r="G153" s="20"/>
      <c r="H153" s="20"/>
      <c r="I153" s="20"/>
      <c r="J153" s="20"/>
      <c r="K153" s="20"/>
      <c r="L153" s="20"/>
      <c r="M153" s="20"/>
      <c r="N153" s="20"/>
      <c r="O153" s="20"/>
    </row>
    <row r="154" spans="1:15" x14ac:dyDescent="0.3">
      <c r="A154" s="155"/>
      <c r="B154" s="18"/>
      <c r="C154" s="19"/>
      <c r="D154" s="20"/>
      <c r="E154" s="20"/>
      <c r="F154" s="20"/>
      <c r="G154" s="20"/>
      <c r="H154" s="20"/>
      <c r="I154" s="20"/>
      <c r="J154" s="20"/>
      <c r="K154" s="20"/>
      <c r="L154" s="20"/>
      <c r="M154" s="20"/>
      <c r="N154" s="20"/>
      <c r="O154" s="20"/>
    </row>
    <row r="155" spans="1:15" x14ac:dyDescent="0.3">
      <c r="A155" s="155"/>
      <c r="B155" s="18"/>
      <c r="C155" s="19"/>
      <c r="D155" s="20"/>
      <c r="E155" s="20"/>
      <c r="F155" s="20"/>
      <c r="G155" s="20"/>
      <c r="H155" s="20"/>
      <c r="I155" s="20"/>
      <c r="J155" s="20"/>
      <c r="K155" s="20"/>
      <c r="L155" s="20"/>
      <c r="M155" s="20"/>
      <c r="N155" s="20"/>
      <c r="O155" s="20"/>
    </row>
    <row r="156" spans="1:15" x14ac:dyDescent="0.3">
      <c r="A156" s="155"/>
      <c r="B156" s="18"/>
      <c r="C156" s="19"/>
      <c r="D156" s="20"/>
      <c r="E156" s="20"/>
      <c r="F156" s="20"/>
      <c r="G156" s="20"/>
      <c r="H156" s="20"/>
      <c r="I156" s="20"/>
      <c r="J156" s="20"/>
      <c r="K156" s="20"/>
      <c r="L156" s="20"/>
      <c r="M156" s="20"/>
      <c r="N156" s="20"/>
      <c r="O156" s="20"/>
    </row>
    <row r="157" spans="1:15" x14ac:dyDescent="0.3">
      <c r="A157" s="155"/>
      <c r="B157" s="18"/>
      <c r="C157" s="19"/>
      <c r="D157" s="20"/>
      <c r="E157" s="20"/>
      <c r="F157" s="20"/>
      <c r="G157" s="20"/>
      <c r="H157" s="20"/>
      <c r="I157" s="20"/>
      <c r="J157" s="20"/>
      <c r="K157" s="20"/>
      <c r="L157" s="20"/>
      <c r="M157" s="20"/>
      <c r="N157" s="20"/>
      <c r="O157" s="20"/>
    </row>
    <row r="158" spans="1:15" x14ac:dyDescent="0.3">
      <c r="A158" s="155"/>
      <c r="B158" s="18"/>
      <c r="C158" s="19"/>
      <c r="D158" s="20"/>
      <c r="E158" s="20"/>
      <c r="F158" s="20"/>
      <c r="G158" s="20"/>
      <c r="H158" s="20"/>
      <c r="I158" s="20"/>
      <c r="J158" s="20"/>
      <c r="K158" s="20"/>
      <c r="L158" s="20"/>
      <c r="M158" s="20"/>
      <c r="N158" s="20"/>
      <c r="O158" s="20"/>
    </row>
    <row r="159" spans="1:15" x14ac:dyDescent="0.3">
      <c r="A159" s="155"/>
      <c r="B159" s="18"/>
      <c r="C159" s="19"/>
      <c r="D159" s="20"/>
      <c r="E159" s="20"/>
      <c r="F159" s="20"/>
      <c r="G159" s="20"/>
      <c r="H159" s="20"/>
      <c r="I159" s="20"/>
      <c r="J159" s="20"/>
      <c r="K159" s="20"/>
      <c r="L159" s="20"/>
      <c r="M159" s="20"/>
      <c r="N159" s="20"/>
      <c r="O159" s="20"/>
    </row>
    <row r="160" spans="1:15" x14ac:dyDescent="0.3">
      <c r="A160" s="155"/>
      <c r="B160" s="18"/>
      <c r="C160" s="19"/>
      <c r="D160" s="20"/>
      <c r="E160" s="20"/>
      <c r="F160" s="20"/>
      <c r="G160" s="20"/>
      <c r="H160" s="20"/>
      <c r="I160" s="20"/>
      <c r="J160" s="20"/>
      <c r="K160" s="20"/>
      <c r="L160" s="20"/>
      <c r="M160" s="20"/>
      <c r="N160" s="20"/>
      <c r="O160" s="20"/>
    </row>
    <row r="161" spans="1:15" x14ac:dyDescent="0.3">
      <c r="A161" s="155"/>
      <c r="B161" s="18"/>
      <c r="C161" s="19"/>
      <c r="D161" s="20"/>
      <c r="E161" s="20"/>
      <c r="F161" s="20"/>
      <c r="G161" s="20"/>
      <c r="H161" s="20"/>
      <c r="I161" s="20"/>
      <c r="J161" s="20"/>
      <c r="K161" s="20"/>
      <c r="L161" s="20"/>
      <c r="M161" s="20"/>
      <c r="N161" s="20"/>
      <c r="O161" s="20"/>
    </row>
    <row r="162" spans="1:15" x14ac:dyDescent="0.3">
      <c r="A162" s="155"/>
      <c r="B162" s="18"/>
      <c r="C162" s="19"/>
      <c r="D162" s="20"/>
      <c r="E162" s="20"/>
      <c r="F162" s="20"/>
      <c r="G162" s="20"/>
      <c r="H162" s="20"/>
      <c r="I162" s="20"/>
      <c r="J162" s="20"/>
      <c r="K162" s="20"/>
      <c r="L162" s="20"/>
      <c r="M162" s="20"/>
      <c r="N162" s="20"/>
      <c r="O162" s="20"/>
    </row>
    <row r="163" spans="1:15" x14ac:dyDescent="0.3">
      <c r="A163" s="155"/>
      <c r="B163" s="18"/>
      <c r="C163" s="19"/>
      <c r="D163" s="20"/>
      <c r="E163" s="20"/>
      <c r="F163" s="20"/>
      <c r="G163" s="20"/>
      <c r="H163" s="20"/>
      <c r="I163" s="20"/>
      <c r="J163" s="20"/>
      <c r="K163" s="20"/>
      <c r="L163" s="20"/>
      <c r="M163" s="20"/>
      <c r="N163" s="20"/>
      <c r="O163" s="20"/>
    </row>
    <row r="164" spans="1:15" x14ac:dyDescent="0.3">
      <c r="A164" s="155"/>
      <c r="B164" s="18"/>
      <c r="C164" s="19"/>
      <c r="D164" s="20"/>
      <c r="E164" s="20"/>
      <c r="F164" s="20"/>
      <c r="G164" s="20"/>
      <c r="H164" s="20"/>
      <c r="I164" s="20"/>
      <c r="J164" s="20"/>
      <c r="K164" s="20"/>
      <c r="L164" s="20"/>
      <c r="M164" s="20"/>
      <c r="N164" s="20"/>
      <c r="O164" s="20"/>
    </row>
    <row r="165" spans="1:15" x14ac:dyDescent="0.3">
      <c r="A165" s="155"/>
      <c r="B165" s="18"/>
      <c r="C165" s="19"/>
      <c r="D165" s="20"/>
      <c r="E165" s="20"/>
      <c r="F165" s="20"/>
      <c r="G165" s="20"/>
      <c r="H165" s="20"/>
      <c r="I165" s="20"/>
      <c r="J165" s="20"/>
      <c r="K165" s="20"/>
      <c r="L165" s="20"/>
      <c r="M165" s="20"/>
      <c r="N165" s="20"/>
      <c r="O165" s="20"/>
    </row>
    <row r="166" spans="1:15" x14ac:dyDescent="0.3">
      <c r="A166" s="155"/>
      <c r="B166" s="18"/>
      <c r="C166" s="19"/>
      <c r="D166" s="20"/>
      <c r="E166" s="20"/>
      <c r="F166" s="20"/>
      <c r="G166" s="20"/>
      <c r="H166" s="20"/>
      <c r="I166" s="20"/>
      <c r="J166" s="20"/>
      <c r="K166" s="20"/>
      <c r="L166" s="20"/>
      <c r="M166" s="20"/>
      <c r="N166" s="20"/>
      <c r="O166" s="20"/>
    </row>
    <row r="167" spans="1:15" x14ac:dyDescent="0.3">
      <c r="A167" s="155"/>
      <c r="B167" s="18"/>
      <c r="C167" s="19"/>
      <c r="D167" s="20"/>
      <c r="E167" s="20"/>
      <c r="F167" s="20"/>
      <c r="G167" s="20"/>
      <c r="H167" s="20"/>
      <c r="I167" s="20"/>
      <c r="J167" s="20"/>
      <c r="K167" s="20"/>
      <c r="L167" s="20"/>
      <c r="M167" s="20"/>
      <c r="N167" s="20"/>
      <c r="O167" s="20"/>
    </row>
    <row r="168" spans="1:15" x14ac:dyDescent="0.3">
      <c r="A168" s="155"/>
      <c r="B168" s="18"/>
      <c r="C168" s="19"/>
      <c r="D168" s="20"/>
      <c r="E168" s="20"/>
      <c r="F168" s="20"/>
      <c r="G168" s="20"/>
      <c r="H168" s="20"/>
      <c r="I168" s="20"/>
      <c r="J168" s="20"/>
      <c r="K168" s="20"/>
      <c r="L168" s="20"/>
      <c r="M168" s="20"/>
      <c r="N168" s="20"/>
      <c r="O168" s="20"/>
    </row>
    <row r="169" spans="1:15" x14ac:dyDescent="0.3">
      <c r="A169" s="155"/>
      <c r="B169" s="18"/>
      <c r="C169" s="19"/>
      <c r="D169" s="20"/>
      <c r="E169" s="20"/>
      <c r="F169" s="20"/>
      <c r="G169" s="20"/>
      <c r="H169" s="20"/>
      <c r="I169" s="20"/>
      <c r="J169" s="20"/>
      <c r="K169" s="20"/>
      <c r="L169" s="20"/>
      <c r="M169" s="20"/>
      <c r="N169" s="20"/>
      <c r="O169" s="20"/>
    </row>
    <row r="170" spans="1:15" x14ac:dyDescent="0.3">
      <c r="A170" s="155"/>
      <c r="B170" s="18"/>
      <c r="C170" s="19"/>
      <c r="D170" s="20"/>
      <c r="E170" s="20"/>
      <c r="F170" s="20"/>
      <c r="G170" s="20"/>
      <c r="H170" s="20"/>
      <c r="I170" s="20"/>
      <c r="J170" s="20"/>
      <c r="K170" s="20"/>
      <c r="L170" s="20"/>
      <c r="M170" s="20"/>
      <c r="N170" s="20"/>
      <c r="O170" s="20"/>
    </row>
    <row r="171" spans="1:15" x14ac:dyDescent="0.3">
      <c r="A171" s="155"/>
      <c r="B171" s="18"/>
      <c r="C171" s="19"/>
      <c r="D171" s="20"/>
      <c r="E171" s="20"/>
      <c r="F171" s="20"/>
      <c r="G171" s="20"/>
      <c r="H171" s="20"/>
      <c r="I171" s="20"/>
      <c r="J171" s="20"/>
      <c r="K171" s="20"/>
      <c r="L171" s="20"/>
      <c r="M171" s="20"/>
      <c r="N171" s="20"/>
      <c r="O171" s="20"/>
    </row>
    <row r="172" spans="1:15" x14ac:dyDescent="0.3">
      <c r="A172" s="155"/>
      <c r="B172" s="18"/>
      <c r="C172" s="19"/>
      <c r="D172" s="20"/>
      <c r="E172" s="20"/>
      <c r="F172" s="20"/>
      <c r="G172" s="20"/>
      <c r="H172" s="20"/>
      <c r="I172" s="20"/>
      <c r="J172" s="20"/>
      <c r="K172" s="20"/>
      <c r="L172" s="20"/>
      <c r="M172" s="20"/>
      <c r="N172" s="20"/>
      <c r="O172" s="20"/>
    </row>
    <row r="173" spans="1:15" x14ac:dyDescent="0.3">
      <c r="A173" s="155"/>
      <c r="B173" s="18"/>
      <c r="C173" s="19"/>
      <c r="D173" s="20"/>
      <c r="E173" s="20"/>
      <c r="F173" s="20"/>
      <c r="G173" s="20"/>
      <c r="H173" s="20"/>
      <c r="I173" s="20"/>
      <c r="J173" s="20"/>
      <c r="K173" s="20"/>
      <c r="L173" s="20"/>
      <c r="M173" s="20"/>
      <c r="N173" s="20"/>
      <c r="O173" s="20"/>
    </row>
    <row r="174" spans="1:15" x14ac:dyDescent="0.3">
      <c r="A174" s="155"/>
      <c r="B174" s="18"/>
      <c r="C174" s="19"/>
      <c r="D174" s="20"/>
      <c r="E174" s="20"/>
      <c r="F174" s="20"/>
      <c r="G174" s="20"/>
      <c r="H174" s="20"/>
      <c r="I174" s="20"/>
      <c r="J174" s="20"/>
      <c r="K174" s="20"/>
      <c r="L174" s="20"/>
      <c r="M174" s="20"/>
      <c r="N174" s="20"/>
      <c r="O174" s="20"/>
    </row>
    <row r="175" spans="1:15" x14ac:dyDescent="0.3">
      <c r="A175" s="155"/>
      <c r="B175" s="18"/>
      <c r="C175" s="19"/>
      <c r="D175" s="20"/>
      <c r="E175" s="20"/>
      <c r="F175" s="20"/>
      <c r="G175" s="20"/>
      <c r="H175" s="20"/>
      <c r="I175" s="20"/>
      <c r="J175" s="20"/>
      <c r="K175" s="20"/>
      <c r="L175" s="20"/>
      <c r="M175" s="20"/>
      <c r="N175" s="20"/>
      <c r="O175" s="20"/>
    </row>
    <row r="176" spans="1:15" x14ac:dyDescent="0.3">
      <c r="A176" s="155"/>
      <c r="B176" s="18"/>
      <c r="C176" s="19"/>
      <c r="D176" s="20"/>
      <c r="E176" s="20"/>
      <c r="F176" s="20"/>
      <c r="G176" s="20"/>
      <c r="H176" s="20"/>
      <c r="I176" s="20"/>
      <c r="J176" s="20"/>
      <c r="K176" s="20"/>
      <c r="L176" s="20"/>
      <c r="M176" s="20"/>
      <c r="N176" s="20"/>
      <c r="O176" s="20"/>
    </row>
    <row r="177" spans="1:15" x14ac:dyDescent="0.3">
      <c r="A177" s="155"/>
      <c r="B177" s="18"/>
      <c r="C177" s="19"/>
      <c r="D177" s="20"/>
      <c r="E177" s="20"/>
      <c r="F177" s="20"/>
      <c r="G177" s="20"/>
      <c r="H177" s="20"/>
      <c r="I177" s="20"/>
      <c r="J177" s="20"/>
      <c r="K177" s="20"/>
      <c r="L177" s="20"/>
      <c r="M177" s="20"/>
      <c r="N177" s="20"/>
      <c r="O177" s="20"/>
    </row>
    <row r="178" spans="1:15" x14ac:dyDescent="0.3">
      <c r="A178" s="155"/>
      <c r="B178" s="18"/>
      <c r="C178" s="19"/>
      <c r="D178" s="20"/>
      <c r="E178" s="20"/>
      <c r="F178" s="20"/>
      <c r="G178" s="20"/>
      <c r="H178" s="20"/>
      <c r="I178" s="20"/>
      <c r="J178" s="20"/>
      <c r="K178" s="20"/>
      <c r="L178" s="20"/>
      <c r="M178" s="20"/>
      <c r="N178" s="20"/>
      <c r="O178" s="20"/>
    </row>
    <row r="179" spans="1:15" x14ac:dyDescent="0.3">
      <c r="A179" s="155"/>
      <c r="B179" s="18"/>
      <c r="C179" s="19"/>
      <c r="D179" s="20"/>
      <c r="E179" s="20"/>
      <c r="F179" s="20"/>
      <c r="G179" s="20"/>
      <c r="H179" s="20"/>
      <c r="I179" s="20"/>
      <c r="J179" s="20"/>
      <c r="K179" s="20"/>
      <c r="L179" s="20"/>
      <c r="M179" s="20"/>
      <c r="N179" s="20"/>
      <c r="O179" s="20"/>
    </row>
    <row r="180" spans="1:15" x14ac:dyDescent="0.3">
      <c r="A180" s="155"/>
      <c r="B180" s="18"/>
      <c r="C180" s="19"/>
      <c r="D180" s="20"/>
      <c r="E180" s="20"/>
      <c r="F180" s="20"/>
      <c r="G180" s="20"/>
      <c r="H180" s="20"/>
      <c r="I180" s="20"/>
      <c r="J180" s="20"/>
      <c r="K180" s="20"/>
      <c r="L180" s="20"/>
      <c r="M180" s="20"/>
      <c r="N180" s="20"/>
      <c r="O180" s="20"/>
    </row>
    <row r="181" spans="1:15" x14ac:dyDescent="0.3">
      <c r="A181" s="155"/>
      <c r="B181" s="18"/>
      <c r="C181" s="19"/>
      <c r="D181" s="20"/>
      <c r="E181" s="20"/>
      <c r="F181" s="20"/>
      <c r="G181" s="20"/>
      <c r="H181" s="20"/>
      <c r="I181" s="20"/>
      <c r="J181" s="20"/>
      <c r="K181" s="20"/>
      <c r="L181" s="20"/>
      <c r="M181" s="20"/>
      <c r="N181" s="20"/>
      <c r="O181" s="20"/>
    </row>
    <row r="182" spans="1:15" x14ac:dyDescent="0.3">
      <c r="A182" s="155"/>
      <c r="B182" s="18"/>
      <c r="C182" s="19"/>
      <c r="D182" s="20"/>
      <c r="E182" s="20"/>
      <c r="F182" s="20"/>
      <c r="G182" s="20"/>
      <c r="H182" s="20"/>
      <c r="I182" s="20"/>
      <c r="J182" s="20"/>
      <c r="K182" s="20"/>
      <c r="L182" s="20"/>
      <c r="M182" s="20"/>
      <c r="N182" s="20"/>
      <c r="O182" s="20"/>
    </row>
    <row r="183" spans="1:15" x14ac:dyDescent="0.3">
      <c r="A183" s="155"/>
      <c r="B183" s="18"/>
      <c r="C183" s="19"/>
      <c r="D183" s="20"/>
      <c r="E183" s="20"/>
      <c r="F183" s="20"/>
      <c r="G183" s="20"/>
      <c r="H183" s="20"/>
      <c r="I183" s="20"/>
      <c r="J183" s="20"/>
      <c r="K183" s="20"/>
      <c r="L183" s="20"/>
      <c r="M183" s="20"/>
      <c r="N183" s="20"/>
      <c r="O183" s="20"/>
    </row>
    <row r="184" spans="1:15" x14ac:dyDescent="0.3">
      <c r="A184" s="155"/>
      <c r="B184" s="18"/>
      <c r="C184" s="19"/>
      <c r="D184" s="20"/>
      <c r="E184" s="20"/>
      <c r="F184" s="20"/>
      <c r="G184" s="20"/>
      <c r="H184" s="20"/>
      <c r="I184" s="20"/>
      <c r="J184" s="20"/>
      <c r="K184" s="20"/>
      <c r="L184" s="20"/>
      <c r="M184" s="20"/>
      <c r="N184" s="20"/>
      <c r="O184" s="20"/>
    </row>
    <row r="185" spans="1:15" x14ac:dyDescent="0.3">
      <c r="A185" s="155"/>
      <c r="B185" s="18"/>
      <c r="C185" s="19"/>
      <c r="D185" s="20"/>
      <c r="E185" s="20"/>
      <c r="F185" s="20"/>
      <c r="G185" s="20"/>
      <c r="H185" s="20"/>
      <c r="I185" s="20"/>
      <c r="J185" s="20"/>
      <c r="K185" s="20"/>
      <c r="L185" s="20"/>
      <c r="M185" s="20"/>
      <c r="N185" s="20"/>
      <c r="O185" s="20"/>
    </row>
    <row r="186" spans="1:15" x14ac:dyDescent="0.3">
      <c r="A186" s="155"/>
      <c r="B186" s="18"/>
      <c r="C186" s="19"/>
      <c r="D186" s="20"/>
      <c r="E186" s="20"/>
      <c r="F186" s="20"/>
      <c r="G186" s="20"/>
      <c r="H186" s="20"/>
      <c r="I186" s="20"/>
      <c r="J186" s="20"/>
      <c r="K186" s="20"/>
      <c r="L186" s="20"/>
      <c r="M186" s="20"/>
      <c r="N186" s="20"/>
      <c r="O186" s="20"/>
    </row>
    <row r="187" spans="1:15" x14ac:dyDescent="0.3">
      <c r="A187" s="155"/>
      <c r="B187" s="18"/>
      <c r="C187" s="19"/>
      <c r="D187" s="20"/>
      <c r="E187" s="20"/>
      <c r="F187" s="20"/>
      <c r="G187" s="20"/>
      <c r="H187" s="20"/>
      <c r="I187" s="20"/>
      <c r="J187" s="20"/>
      <c r="K187" s="20"/>
      <c r="L187" s="20"/>
      <c r="M187" s="20"/>
      <c r="N187" s="20"/>
      <c r="O187" s="20"/>
    </row>
    <row r="188" spans="1:15" x14ac:dyDescent="0.3">
      <c r="A188" s="155"/>
      <c r="B188" s="18"/>
      <c r="C188" s="19"/>
      <c r="D188" s="20"/>
      <c r="E188" s="20"/>
      <c r="F188" s="20"/>
      <c r="G188" s="20"/>
      <c r="H188" s="20"/>
      <c r="I188" s="20"/>
      <c r="J188" s="20"/>
      <c r="K188" s="20"/>
      <c r="L188" s="20"/>
      <c r="M188" s="20"/>
      <c r="N188" s="20"/>
      <c r="O188" s="20"/>
    </row>
    <row r="189" spans="1:15" x14ac:dyDescent="0.3">
      <c r="A189" s="155"/>
      <c r="B189" s="18"/>
      <c r="C189" s="19"/>
      <c r="D189" s="20"/>
      <c r="E189" s="20"/>
      <c r="F189" s="20"/>
      <c r="G189" s="20"/>
      <c r="H189" s="20"/>
      <c r="I189" s="20"/>
      <c r="J189" s="20"/>
      <c r="K189" s="20"/>
      <c r="L189" s="20"/>
      <c r="M189" s="20"/>
      <c r="N189" s="20"/>
      <c r="O189" s="20"/>
    </row>
    <row r="190" spans="1:15" x14ac:dyDescent="0.3">
      <c r="A190" s="155"/>
      <c r="B190" s="18"/>
      <c r="C190" s="19"/>
      <c r="D190" s="20"/>
      <c r="E190" s="20"/>
      <c r="F190" s="20"/>
      <c r="G190" s="20"/>
      <c r="H190" s="20"/>
      <c r="I190" s="20"/>
      <c r="J190" s="20"/>
      <c r="K190" s="20"/>
      <c r="L190" s="20"/>
      <c r="M190" s="20"/>
      <c r="N190" s="20"/>
      <c r="O190" s="20"/>
    </row>
    <row r="191" spans="1:15" x14ac:dyDescent="0.3">
      <c r="A191" s="155"/>
      <c r="B191" s="18"/>
      <c r="C191" s="19"/>
      <c r="D191" s="20"/>
      <c r="E191" s="20"/>
      <c r="F191" s="20"/>
      <c r="G191" s="20"/>
      <c r="H191" s="20"/>
      <c r="I191" s="20"/>
      <c r="J191" s="20"/>
      <c r="K191" s="20"/>
      <c r="L191" s="20"/>
      <c r="M191" s="20"/>
      <c r="N191" s="20"/>
      <c r="O191" s="20"/>
    </row>
    <row r="192" spans="1:15" x14ac:dyDescent="0.3">
      <c r="A192" s="155"/>
      <c r="B192" s="18"/>
      <c r="C192" s="19"/>
      <c r="D192" s="20"/>
      <c r="E192" s="20"/>
      <c r="F192" s="20"/>
      <c r="G192" s="20"/>
      <c r="H192" s="20"/>
      <c r="I192" s="20"/>
      <c r="J192" s="20"/>
      <c r="K192" s="20"/>
      <c r="L192" s="20"/>
      <c r="M192" s="20"/>
      <c r="N192" s="20"/>
      <c r="O192" s="20"/>
    </row>
    <row r="193" spans="1:15" x14ac:dyDescent="0.3">
      <c r="A193" s="155"/>
      <c r="B193" s="18"/>
      <c r="C193" s="19"/>
      <c r="D193" s="20"/>
      <c r="E193" s="20"/>
      <c r="F193" s="20"/>
      <c r="G193" s="20"/>
      <c r="H193" s="20"/>
      <c r="I193" s="20"/>
      <c r="J193" s="20"/>
      <c r="K193" s="20"/>
      <c r="L193" s="20"/>
      <c r="M193" s="20"/>
      <c r="N193" s="20"/>
      <c r="O193" s="20"/>
    </row>
    <row r="194" spans="1:15" x14ac:dyDescent="0.3">
      <c r="A194" s="155"/>
      <c r="B194" s="18"/>
      <c r="C194" s="19"/>
      <c r="D194" s="20"/>
      <c r="E194" s="20"/>
      <c r="F194" s="20"/>
      <c r="G194" s="20"/>
      <c r="H194" s="20"/>
      <c r="I194" s="20"/>
      <c r="J194" s="20"/>
      <c r="K194" s="20"/>
      <c r="L194" s="20"/>
      <c r="M194" s="20"/>
      <c r="N194" s="20"/>
      <c r="O194" s="20"/>
    </row>
    <row r="195" spans="1:15" x14ac:dyDescent="0.3">
      <c r="A195" s="155"/>
      <c r="B195" s="18"/>
      <c r="C195" s="19"/>
      <c r="D195" s="20"/>
      <c r="E195" s="20"/>
      <c r="F195" s="20"/>
      <c r="G195" s="20"/>
      <c r="H195" s="20"/>
      <c r="I195" s="20"/>
      <c r="J195" s="20"/>
      <c r="K195" s="20"/>
      <c r="L195" s="20"/>
      <c r="M195" s="20"/>
      <c r="N195" s="20"/>
      <c r="O195" s="20"/>
    </row>
    <row r="196" spans="1:15" x14ac:dyDescent="0.3">
      <c r="A196" s="155"/>
      <c r="B196" s="18"/>
      <c r="C196" s="19"/>
      <c r="D196" s="20"/>
      <c r="E196" s="20"/>
      <c r="F196" s="20"/>
      <c r="G196" s="20"/>
      <c r="H196" s="20"/>
      <c r="I196" s="20"/>
      <c r="J196" s="20"/>
      <c r="K196" s="20"/>
      <c r="L196" s="20"/>
      <c r="M196" s="20"/>
      <c r="N196" s="20"/>
      <c r="O196" s="20"/>
    </row>
    <row r="197" spans="1:15" x14ac:dyDescent="0.3">
      <c r="A197" s="155"/>
      <c r="B197" s="18"/>
      <c r="C197" s="19"/>
      <c r="D197" s="20"/>
      <c r="E197" s="20"/>
      <c r="F197" s="20"/>
      <c r="G197" s="20"/>
      <c r="H197" s="20"/>
      <c r="I197" s="20"/>
      <c r="J197" s="20"/>
      <c r="K197" s="20"/>
      <c r="L197" s="20"/>
      <c r="M197" s="20"/>
      <c r="N197" s="20"/>
      <c r="O197" s="20"/>
    </row>
    <row r="198" spans="1:15" x14ac:dyDescent="0.3">
      <c r="A198" s="155"/>
      <c r="B198" s="18"/>
      <c r="C198" s="19"/>
      <c r="D198" s="20"/>
      <c r="E198" s="20"/>
      <c r="F198" s="20"/>
      <c r="G198" s="20"/>
      <c r="H198" s="20"/>
      <c r="I198" s="20"/>
      <c r="J198" s="20"/>
      <c r="K198" s="20"/>
      <c r="L198" s="20"/>
      <c r="M198" s="20"/>
      <c r="N198" s="20"/>
      <c r="O198" s="20"/>
    </row>
    <row r="199" spans="1:15" x14ac:dyDescent="0.3">
      <c r="A199" s="155"/>
      <c r="B199" s="18"/>
      <c r="C199" s="19"/>
      <c r="D199" s="20"/>
      <c r="E199" s="20"/>
      <c r="F199" s="20"/>
      <c r="G199" s="20"/>
      <c r="H199" s="20"/>
      <c r="I199" s="20"/>
      <c r="J199" s="20"/>
      <c r="K199" s="20"/>
      <c r="L199" s="20"/>
      <c r="M199" s="20"/>
      <c r="N199" s="20"/>
      <c r="O199" s="20"/>
    </row>
    <row r="200" spans="1:15" x14ac:dyDescent="0.3">
      <c r="A200" s="155"/>
      <c r="B200" s="18"/>
      <c r="C200" s="19"/>
      <c r="D200" s="20"/>
      <c r="E200" s="20"/>
      <c r="F200" s="20"/>
      <c r="G200" s="20"/>
      <c r="H200" s="20"/>
      <c r="I200" s="20"/>
      <c r="J200" s="20"/>
      <c r="K200" s="20"/>
      <c r="L200" s="20"/>
      <c r="M200" s="20"/>
      <c r="N200" s="20"/>
      <c r="O200" s="20"/>
    </row>
    <row r="201" spans="1:15" x14ac:dyDescent="0.3">
      <c r="A201" s="155"/>
      <c r="B201" s="18"/>
      <c r="C201" s="19"/>
      <c r="D201" s="20"/>
      <c r="E201" s="20"/>
      <c r="F201" s="20"/>
      <c r="G201" s="20"/>
      <c r="H201" s="20"/>
      <c r="I201" s="20"/>
      <c r="J201" s="20"/>
      <c r="K201" s="20"/>
      <c r="L201" s="20"/>
      <c r="M201" s="20"/>
      <c r="N201" s="20"/>
      <c r="O201" s="20"/>
    </row>
    <row r="202" spans="1:15" x14ac:dyDescent="0.3">
      <c r="A202" s="155"/>
      <c r="B202" s="18"/>
      <c r="C202" s="19"/>
      <c r="D202" s="20"/>
      <c r="E202" s="20"/>
      <c r="F202" s="20"/>
      <c r="G202" s="20"/>
      <c r="H202" s="20"/>
      <c r="I202" s="20"/>
      <c r="J202" s="20"/>
      <c r="K202" s="20"/>
      <c r="L202" s="20"/>
      <c r="M202" s="20"/>
      <c r="N202" s="20"/>
      <c r="O202" s="20"/>
    </row>
    <row r="203" spans="1:15" x14ac:dyDescent="0.3">
      <c r="A203" s="155"/>
      <c r="B203" s="18"/>
      <c r="C203" s="19"/>
      <c r="D203" s="20"/>
      <c r="E203" s="20"/>
      <c r="F203" s="20"/>
      <c r="G203" s="20"/>
      <c r="H203" s="20"/>
      <c r="I203" s="20"/>
      <c r="J203" s="20"/>
      <c r="K203" s="20"/>
      <c r="L203" s="20"/>
      <c r="M203" s="20"/>
      <c r="N203" s="20"/>
      <c r="O203" s="20"/>
    </row>
    <row r="204" spans="1:15" x14ac:dyDescent="0.3">
      <c r="A204" s="155"/>
      <c r="B204" s="18"/>
      <c r="C204" s="19"/>
      <c r="D204" s="20"/>
      <c r="E204" s="20"/>
      <c r="F204" s="20"/>
      <c r="G204" s="20"/>
      <c r="H204" s="20"/>
      <c r="I204" s="20"/>
      <c r="J204" s="20"/>
      <c r="K204" s="20"/>
      <c r="L204" s="20"/>
      <c r="M204" s="20"/>
      <c r="N204" s="20"/>
      <c r="O204" s="20"/>
    </row>
    <row r="205" spans="1:15" x14ac:dyDescent="0.3">
      <c r="A205" s="155"/>
      <c r="B205" s="18"/>
      <c r="C205" s="19"/>
      <c r="D205" s="20"/>
      <c r="E205" s="20"/>
      <c r="F205" s="20"/>
      <c r="G205" s="20"/>
      <c r="H205" s="20"/>
      <c r="I205" s="20"/>
      <c r="J205" s="20"/>
      <c r="K205" s="20"/>
      <c r="L205" s="20"/>
      <c r="M205" s="20"/>
      <c r="N205" s="20"/>
      <c r="O205" s="20"/>
    </row>
    <row r="206" spans="1:15" x14ac:dyDescent="0.3">
      <c r="A206" s="155"/>
      <c r="B206" s="18"/>
      <c r="C206" s="19"/>
      <c r="D206" s="20"/>
      <c r="E206" s="20"/>
      <c r="F206" s="20"/>
      <c r="G206" s="20"/>
      <c r="H206" s="20"/>
      <c r="I206" s="20"/>
      <c r="J206" s="20"/>
      <c r="K206" s="20"/>
      <c r="L206" s="20"/>
      <c r="M206" s="20"/>
      <c r="N206" s="20"/>
      <c r="O206" s="20"/>
    </row>
    <row r="207" spans="1:15" x14ac:dyDescent="0.3">
      <c r="A207" s="155"/>
      <c r="B207" s="18"/>
      <c r="C207" s="19"/>
      <c r="D207" s="20"/>
      <c r="E207" s="20"/>
      <c r="F207" s="20"/>
      <c r="G207" s="20"/>
      <c r="H207" s="20"/>
      <c r="I207" s="20"/>
      <c r="J207" s="20"/>
      <c r="K207" s="20"/>
      <c r="L207" s="20"/>
      <c r="M207" s="20"/>
      <c r="N207" s="20"/>
      <c r="O207" s="20"/>
    </row>
    <row r="208" spans="1:15" x14ac:dyDescent="0.3">
      <c r="A208" s="155"/>
      <c r="B208" s="18"/>
      <c r="C208" s="19"/>
      <c r="D208" s="20"/>
      <c r="E208" s="20"/>
      <c r="F208" s="20"/>
      <c r="G208" s="20"/>
      <c r="H208" s="20"/>
      <c r="I208" s="20"/>
      <c r="J208" s="20"/>
      <c r="K208" s="20"/>
      <c r="L208" s="20"/>
      <c r="M208" s="20"/>
      <c r="N208" s="20"/>
      <c r="O208" s="20"/>
    </row>
    <row r="209" spans="1:15" x14ac:dyDescent="0.3">
      <c r="A209" s="155"/>
      <c r="B209" s="18"/>
      <c r="C209" s="19"/>
      <c r="D209" s="20"/>
      <c r="E209" s="20"/>
      <c r="F209" s="20"/>
      <c r="G209" s="20"/>
      <c r="H209" s="20"/>
      <c r="I209" s="20"/>
      <c r="J209" s="20"/>
      <c r="K209" s="20"/>
      <c r="L209" s="20"/>
      <c r="M209" s="20"/>
      <c r="N209" s="20"/>
      <c r="O209" s="20"/>
    </row>
    <row r="210" spans="1:15" x14ac:dyDescent="0.3">
      <c r="A210" s="155"/>
      <c r="B210" s="18"/>
      <c r="C210" s="19"/>
      <c r="D210" s="20"/>
      <c r="E210" s="20"/>
      <c r="F210" s="20"/>
      <c r="G210" s="20"/>
      <c r="H210" s="20"/>
      <c r="I210" s="20"/>
      <c r="J210" s="20"/>
      <c r="K210" s="20"/>
      <c r="L210" s="20"/>
      <c r="M210" s="20"/>
      <c r="N210" s="20"/>
      <c r="O210" s="20"/>
    </row>
    <row r="211" spans="1:15" x14ac:dyDescent="0.3">
      <c r="A211" s="155"/>
      <c r="B211" s="18"/>
      <c r="C211" s="19"/>
      <c r="D211" s="20"/>
      <c r="E211" s="20"/>
      <c r="F211" s="20"/>
      <c r="G211" s="20"/>
      <c r="H211" s="20"/>
      <c r="I211" s="20"/>
      <c r="J211" s="20"/>
      <c r="K211" s="20"/>
      <c r="L211" s="20"/>
      <c r="M211" s="20"/>
      <c r="N211" s="20"/>
      <c r="O211" s="20"/>
    </row>
    <row r="212" spans="1:15" x14ac:dyDescent="0.3">
      <c r="A212" s="155"/>
      <c r="B212" s="18"/>
      <c r="C212" s="19"/>
      <c r="D212" s="20"/>
      <c r="E212" s="20"/>
      <c r="F212" s="20"/>
      <c r="G212" s="20"/>
      <c r="H212" s="20"/>
      <c r="I212" s="20"/>
      <c r="J212" s="20"/>
      <c r="K212" s="20"/>
      <c r="L212" s="20"/>
      <c r="M212" s="20"/>
      <c r="N212" s="20"/>
      <c r="O212" s="20"/>
    </row>
    <row r="213" spans="1:15" x14ac:dyDescent="0.3">
      <c r="A213" s="155"/>
      <c r="B213" s="18"/>
      <c r="C213" s="19"/>
      <c r="D213" s="20"/>
      <c r="E213" s="20"/>
      <c r="F213" s="20"/>
      <c r="G213" s="20"/>
      <c r="H213" s="20"/>
      <c r="I213" s="20"/>
      <c r="J213" s="20"/>
      <c r="K213" s="20"/>
      <c r="L213" s="20"/>
      <c r="M213" s="20"/>
      <c r="N213" s="20"/>
      <c r="O213" s="20"/>
    </row>
    <row r="214" spans="1:15" x14ac:dyDescent="0.3">
      <c r="A214" s="155"/>
      <c r="B214" s="18"/>
      <c r="C214" s="19"/>
      <c r="D214" s="20"/>
      <c r="E214" s="20"/>
      <c r="F214" s="20"/>
      <c r="G214" s="20"/>
      <c r="H214" s="20"/>
      <c r="I214" s="20"/>
      <c r="J214" s="20"/>
      <c r="K214" s="20"/>
      <c r="L214" s="20"/>
      <c r="M214" s="20"/>
      <c r="N214" s="20"/>
      <c r="O214" s="20"/>
    </row>
    <row r="215" spans="1:15" x14ac:dyDescent="0.3">
      <c r="A215" s="155"/>
      <c r="B215" s="18"/>
      <c r="C215" s="19"/>
      <c r="D215" s="20"/>
      <c r="E215" s="20"/>
      <c r="F215" s="20"/>
      <c r="G215" s="20"/>
      <c r="H215" s="20"/>
      <c r="I215" s="20"/>
      <c r="J215" s="20"/>
      <c r="K215" s="20"/>
      <c r="L215" s="20"/>
      <c r="M215" s="20"/>
      <c r="N215" s="20"/>
      <c r="O215" s="20"/>
    </row>
    <row r="216" spans="1:15" x14ac:dyDescent="0.3">
      <c r="A216" s="155"/>
      <c r="B216" s="18"/>
      <c r="C216" s="19"/>
      <c r="D216" s="20"/>
      <c r="E216" s="20"/>
      <c r="F216" s="20"/>
      <c r="G216" s="20"/>
      <c r="H216" s="20"/>
      <c r="I216" s="20"/>
      <c r="J216" s="20"/>
      <c r="K216" s="20"/>
      <c r="L216" s="20"/>
      <c r="M216" s="20"/>
      <c r="N216" s="20"/>
      <c r="O216" s="20"/>
    </row>
    <row r="217" spans="1:15" x14ac:dyDescent="0.3">
      <c r="A217" s="155"/>
      <c r="B217" s="18"/>
      <c r="C217" s="19"/>
      <c r="D217" s="20"/>
      <c r="E217" s="20"/>
      <c r="F217" s="20"/>
      <c r="G217" s="20"/>
      <c r="H217" s="20"/>
      <c r="I217" s="20"/>
      <c r="J217" s="20"/>
      <c r="K217" s="20"/>
      <c r="L217" s="20"/>
      <c r="M217" s="20"/>
      <c r="N217" s="20"/>
      <c r="O217" s="20"/>
    </row>
    <row r="218" spans="1:15" x14ac:dyDescent="0.3">
      <c r="A218" s="155"/>
      <c r="B218" s="18"/>
      <c r="C218" s="19"/>
      <c r="D218" s="20"/>
      <c r="E218" s="20"/>
      <c r="F218" s="20"/>
      <c r="G218" s="20"/>
      <c r="H218" s="20"/>
      <c r="I218" s="20"/>
      <c r="J218" s="20"/>
      <c r="K218" s="20"/>
      <c r="L218" s="20"/>
      <c r="M218" s="20"/>
      <c r="N218" s="20"/>
      <c r="O218" s="20"/>
    </row>
    <row r="219" spans="1:15" x14ac:dyDescent="0.3">
      <c r="A219" s="155"/>
      <c r="B219" s="18"/>
      <c r="C219" s="19"/>
      <c r="D219" s="20"/>
      <c r="E219" s="20"/>
      <c r="F219" s="20"/>
      <c r="G219" s="20"/>
      <c r="H219" s="20"/>
      <c r="I219" s="20"/>
      <c r="J219" s="20"/>
      <c r="K219" s="20"/>
      <c r="L219" s="20"/>
      <c r="M219" s="20"/>
      <c r="N219" s="20"/>
      <c r="O219" s="20"/>
    </row>
    <row r="220" spans="1:15" x14ac:dyDescent="0.3">
      <c r="A220" s="155"/>
      <c r="B220" s="18"/>
      <c r="C220" s="19"/>
      <c r="D220" s="20"/>
      <c r="E220" s="20"/>
      <c r="F220" s="20"/>
      <c r="G220" s="20"/>
      <c r="H220" s="20"/>
      <c r="I220" s="20"/>
      <c r="J220" s="20"/>
      <c r="K220" s="20"/>
      <c r="L220" s="20"/>
      <c r="M220" s="20"/>
      <c r="N220" s="20"/>
      <c r="O220" s="20"/>
    </row>
    <row r="221" spans="1:15" x14ac:dyDescent="0.3">
      <c r="A221" s="155"/>
      <c r="B221" s="18"/>
      <c r="C221" s="19"/>
      <c r="D221" s="20"/>
      <c r="E221" s="20"/>
      <c r="F221" s="20"/>
      <c r="G221" s="20"/>
      <c r="H221" s="20"/>
      <c r="I221" s="20"/>
      <c r="J221" s="20"/>
      <c r="K221" s="20"/>
      <c r="L221" s="20"/>
      <c r="M221" s="20"/>
      <c r="N221" s="20"/>
      <c r="O221" s="20"/>
    </row>
    <row r="222" spans="1:15" x14ac:dyDescent="0.3">
      <c r="A222" s="155"/>
      <c r="B222" s="18"/>
      <c r="C222" s="19"/>
      <c r="D222" s="20"/>
      <c r="E222" s="20"/>
      <c r="F222" s="20"/>
      <c r="G222" s="20"/>
      <c r="H222" s="20"/>
      <c r="I222" s="20"/>
      <c r="J222" s="20"/>
      <c r="K222" s="20"/>
      <c r="L222" s="20"/>
      <c r="M222" s="20"/>
      <c r="N222" s="20"/>
      <c r="O222" s="20"/>
    </row>
    <row r="223" spans="1:15" x14ac:dyDescent="0.3">
      <c r="A223" s="155"/>
      <c r="B223" s="18"/>
      <c r="C223" s="19"/>
      <c r="D223" s="20"/>
      <c r="E223" s="20"/>
      <c r="F223" s="20"/>
      <c r="G223" s="20"/>
      <c r="H223" s="20"/>
      <c r="I223" s="20"/>
      <c r="J223" s="20"/>
      <c r="K223" s="20"/>
      <c r="L223" s="20"/>
      <c r="M223" s="20"/>
      <c r="N223" s="20"/>
      <c r="O223" s="20"/>
    </row>
    <row r="224" spans="1:15" x14ac:dyDescent="0.3">
      <c r="A224" s="155"/>
      <c r="B224" s="18"/>
      <c r="C224" s="19"/>
      <c r="D224" s="20"/>
      <c r="E224" s="20"/>
      <c r="F224" s="20"/>
      <c r="G224" s="20"/>
      <c r="H224" s="20"/>
      <c r="I224" s="20"/>
      <c r="J224" s="20"/>
      <c r="K224" s="20"/>
      <c r="L224" s="20"/>
      <c r="M224" s="20"/>
      <c r="N224" s="20"/>
      <c r="O224" s="20"/>
    </row>
    <row r="225" spans="1:15" x14ac:dyDescent="0.3">
      <c r="A225" s="155"/>
      <c r="B225" s="18"/>
      <c r="C225" s="19"/>
      <c r="D225" s="20"/>
      <c r="E225" s="20"/>
      <c r="F225" s="20"/>
      <c r="G225" s="20"/>
      <c r="H225" s="20"/>
      <c r="I225" s="20"/>
      <c r="J225" s="20"/>
      <c r="K225" s="20"/>
      <c r="L225" s="20"/>
      <c r="M225" s="20"/>
      <c r="N225" s="20"/>
      <c r="O225" s="20"/>
    </row>
    <row r="226" spans="1:15" x14ac:dyDescent="0.3">
      <c r="A226" s="155"/>
      <c r="B226" s="18"/>
      <c r="C226" s="19"/>
      <c r="D226" s="20"/>
      <c r="E226" s="20"/>
      <c r="F226" s="20"/>
      <c r="G226" s="20"/>
      <c r="H226" s="20"/>
      <c r="I226" s="20"/>
      <c r="J226" s="20"/>
      <c r="K226" s="20"/>
      <c r="L226" s="20"/>
      <c r="M226" s="20"/>
      <c r="N226" s="20"/>
      <c r="O226" s="20"/>
    </row>
    <row r="227" spans="1:15" x14ac:dyDescent="0.3">
      <c r="A227" s="155"/>
      <c r="B227" s="18"/>
      <c r="C227" s="19"/>
      <c r="D227" s="20"/>
      <c r="E227" s="20"/>
      <c r="F227" s="20"/>
      <c r="G227" s="20"/>
      <c r="H227" s="20"/>
      <c r="I227" s="20"/>
      <c r="J227" s="20"/>
      <c r="K227" s="20"/>
      <c r="L227" s="20"/>
      <c r="M227" s="20"/>
      <c r="N227" s="20"/>
      <c r="O227" s="20"/>
    </row>
    <row r="228" spans="1:15" x14ac:dyDescent="0.3">
      <c r="A228" s="155"/>
      <c r="B228" s="18"/>
      <c r="C228" s="19"/>
      <c r="D228" s="20"/>
      <c r="E228" s="20"/>
      <c r="F228" s="20"/>
      <c r="G228" s="20"/>
      <c r="H228" s="20"/>
      <c r="I228" s="20"/>
      <c r="J228" s="20"/>
      <c r="K228" s="20"/>
      <c r="L228" s="20"/>
      <c r="M228" s="20"/>
      <c r="N228" s="20"/>
      <c r="O228" s="20"/>
    </row>
    <row r="229" spans="1:15" x14ac:dyDescent="0.3">
      <c r="A229" s="155"/>
      <c r="B229" s="18"/>
      <c r="C229" s="19"/>
      <c r="D229" s="20"/>
      <c r="E229" s="20"/>
      <c r="F229" s="20"/>
      <c r="G229" s="20"/>
      <c r="H229" s="20"/>
      <c r="I229" s="20"/>
      <c r="J229" s="20"/>
      <c r="K229" s="20"/>
      <c r="L229" s="20"/>
      <c r="M229" s="20"/>
      <c r="N229" s="20"/>
      <c r="O229" s="20"/>
    </row>
    <row r="230" spans="1:15" x14ac:dyDescent="0.3">
      <c r="A230" s="155"/>
      <c r="B230" s="18"/>
      <c r="C230" s="19"/>
      <c r="D230" s="20"/>
      <c r="E230" s="20"/>
      <c r="F230" s="20"/>
      <c r="G230" s="20"/>
      <c r="H230" s="20"/>
      <c r="I230" s="20"/>
      <c r="J230" s="20"/>
      <c r="K230" s="20"/>
      <c r="L230" s="20"/>
      <c r="M230" s="20"/>
      <c r="N230" s="20"/>
      <c r="O230" s="20"/>
    </row>
    <row r="231" spans="1:15" x14ac:dyDescent="0.3">
      <c r="A231" s="155"/>
      <c r="B231" s="18"/>
      <c r="C231" s="19"/>
      <c r="D231" s="20"/>
      <c r="E231" s="20"/>
      <c r="F231" s="20"/>
      <c r="G231" s="20"/>
      <c r="H231" s="20"/>
      <c r="I231" s="20"/>
      <c r="J231" s="20"/>
      <c r="K231" s="20"/>
      <c r="L231" s="20"/>
      <c r="M231" s="20"/>
      <c r="N231" s="20"/>
      <c r="O231" s="20"/>
    </row>
    <row r="232" spans="1:15" x14ac:dyDescent="0.3">
      <c r="A232" s="155"/>
      <c r="B232" s="18"/>
      <c r="C232" s="19"/>
      <c r="D232" s="20"/>
      <c r="E232" s="20"/>
      <c r="F232" s="20"/>
      <c r="G232" s="20"/>
      <c r="H232" s="20"/>
      <c r="I232" s="20"/>
      <c r="J232" s="20"/>
      <c r="K232" s="20"/>
      <c r="L232" s="20"/>
      <c r="M232" s="20"/>
      <c r="N232" s="20"/>
      <c r="O232" s="20"/>
    </row>
    <row r="233" spans="1:15" x14ac:dyDescent="0.3">
      <c r="A233" s="155"/>
      <c r="B233" s="18"/>
      <c r="C233" s="19"/>
      <c r="D233" s="20"/>
      <c r="E233" s="20"/>
      <c r="F233" s="20"/>
      <c r="G233" s="20"/>
      <c r="H233" s="20"/>
      <c r="I233" s="20"/>
      <c r="J233" s="20"/>
      <c r="K233" s="20"/>
      <c r="L233" s="20"/>
      <c r="M233" s="20"/>
      <c r="N233" s="20"/>
      <c r="O233" s="20"/>
    </row>
    <row r="234" spans="1:15" x14ac:dyDescent="0.3">
      <c r="A234" s="155"/>
      <c r="B234" s="18"/>
      <c r="C234" s="19"/>
      <c r="D234" s="20"/>
      <c r="E234" s="20"/>
      <c r="F234" s="20"/>
      <c r="G234" s="20"/>
      <c r="H234" s="20"/>
      <c r="I234" s="20"/>
      <c r="J234" s="20"/>
      <c r="K234" s="20"/>
      <c r="L234" s="20"/>
      <c r="M234" s="20"/>
      <c r="N234" s="20"/>
      <c r="O234" s="20"/>
    </row>
    <row r="235" spans="1:15" x14ac:dyDescent="0.3">
      <c r="A235" s="155"/>
      <c r="B235" s="18"/>
      <c r="C235" s="19"/>
      <c r="D235" s="20"/>
      <c r="E235" s="20"/>
      <c r="F235" s="20"/>
      <c r="G235" s="20"/>
      <c r="H235" s="20"/>
      <c r="I235" s="20"/>
      <c r="J235" s="20"/>
      <c r="K235" s="20"/>
      <c r="L235" s="20"/>
      <c r="M235" s="20"/>
      <c r="N235" s="20"/>
      <c r="O235" s="20"/>
    </row>
    <row r="236" spans="1:15" x14ac:dyDescent="0.3">
      <c r="A236" s="155"/>
      <c r="B236" s="18"/>
      <c r="C236" s="19"/>
      <c r="D236" s="20"/>
      <c r="E236" s="20"/>
      <c r="F236" s="20"/>
      <c r="G236" s="20"/>
      <c r="H236" s="20"/>
      <c r="I236" s="20"/>
      <c r="J236" s="20"/>
      <c r="K236" s="20"/>
      <c r="L236" s="20"/>
      <c r="M236" s="20"/>
      <c r="N236" s="20"/>
      <c r="O236" s="20"/>
    </row>
    <row r="237" spans="1:15" x14ac:dyDescent="0.3">
      <c r="A237" s="155"/>
      <c r="B237" s="18"/>
      <c r="C237" s="19"/>
      <c r="D237" s="20"/>
      <c r="E237" s="20"/>
      <c r="F237" s="20"/>
      <c r="G237" s="20"/>
      <c r="H237" s="20"/>
      <c r="I237" s="20"/>
      <c r="J237" s="20"/>
      <c r="K237" s="20"/>
      <c r="L237" s="20"/>
      <c r="M237" s="20"/>
      <c r="N237" s="20"/>
      <c r="O237" s="20"/>
    </row>
    <row r="238" spans="1:15" x14ac:dyDescent="0.3">
      <c r="A238" s="155"/>
      <c r="B238" s="18"/>
      <c r="C238" s="19"/>
      <c r="D238" s="20"/>
      <c r="E238" s="20"/>
      <c r="F238" s="20"/>
      <c r="G238" s="20"/>
      <c r="H238" s="20"/>
      <c r="I238" s="20"/>
      <c r="J238" s="20"/>
      <c r="K238" s="20"/>
      <c r="L238" s="20"/>
      <c r="M238" s="20"/>
      <c r="N238" s="20"/>
      <c r="O238" s="20"/>
    </row>
    <row r="239" spans="1:15" x14ac:dyDescent="0.3">
      <c r="A239" s="155"/>
      <c r="B239" s="18"/>
      <c r="C239" s="19"/>
      <c r="D239" s="20"/>
      <c r="E239" s="20"/>
      <c r="F239" s="20"/>
      <c r="G239" s="20"/>
      <c r="H239" s="20"/>
      <c r="I239" s="20"/>
      <c r="J239" s="20"/>
      <c r="K239" s="20"/>
      <c r="L239" s="20"/>
      <c r="M239" s="20"/>
      <c r="N239" s="20"/>
      <c r="O239" s="20"/>
    </row>
    <row r="240" spans="1:15" x14ac:dyDescent="0.3">
      <c r="A240" s="155"/>
      <c r="B240" s="18"/>
      <c r="C240" s="19"/>
      <c r="D240" s="20"/>
      <c r="E240" s="20"/>
      <c r="F240" s="20"/>
      <c r="G240" s="20"/>
      <c r="H240" s="20"/>
      <c r="I240" s="20"/>
      <c r="J240" s="20"/>
      <c r="K240" s="20"/>
      <c r="L240" s="20"/>
      <c r="M240" s="20"/>
      <c r="N240" s="20"/>
      <c r="O240" s="20"/>
    </row>
    <row r="241" spans="1:15" x14ac:dyDescent="0.3">
      <c r="A241" s="155"/>
      <c r="B241" s="18"/>
      <c r="C241" s="19"/>
      <c r="D241" s="20"/>
      <c r="E241" s="20"/>
      <c r="F241" s="20"/>
      <c r="G241" s="20"/>
      <c r="H241" s="20"/>
      <c r="I241" s="20"/>
      <c r="J241" s="20"/>
      <c r="K241" s="20"/>
      <c r="L241" s="20"/>
      <c r="M241" s="20"/>
      <c r="N241" s="20"/>
      <c r="O241" s="20"/>
    </row>
    <row r="242" spans="1:15" x14ac:dyDescent="0.3">
      <c r="A242" s="155"/>
      <c r="B242" s="18"/>
      <c r="C242" s="19"/>
      <c r="D242" s="20"/>
      <c r="E242" s="20"/>
      <c r="F242" s="20"/>
      <c r="G242" s="20"/>
      <c r="H242" s="20"/>
      <c r="I242" s="20"/>
      <c r="J242" s="20"/>
      <c r="K242" s="20"/>
      <c r="L242" s="20"/>
      <c r="M242" s="20"/>
      <c r="N242" s="20"/>
      <c r="O242" s="20"/>
    </row>
    <row r="243" spans="1:15" x14ac:dyDescent="0.3">
      <c r="A243" s="155"/>
      <c r="B243" s="18"/>
      <c r="C243" s="19"/>
      <c r="D243" s="20"/>
      <c r="E243" s="20"/>
      <c r="F243" s="20"/>
      <c r="G243" s="20"/>
      <c r="H243" s="20"/>
      <c r="I243" s="20"/>
      <c r="J243" s="20"/>
      <c r="K243" s="20"/>
      <c r="L243" s="20"/>
      <c r="M243" s="20"/>
      <c r="N243" s="20"/>
      <c r="O243" s="20"/>
    </row>
    <row r="244" spans="1:15" x14ac:dyDescent="0.3">
      <c r="A244" s="155"/>
      <c r="B244" s="18"/>
      <c r="C244" s="19"/>
      <c r="D244" s="20"/>
      <c r="E244" s="20"/>
      <c r="F244" s="20"/>
      <c r="G244" s="20"/>
      <c r="H244" s="20"/>
      <c r="I244" s="20"/>
      <c r="J244" s="20"/>
      <c r="K244" s="20"/>
      <c r="L244" s="20"/>
      <c r="M244" s="20"/>
      <c r="N244" s="20"/>
      <c r="O244" s="20"/>
    </row>
    <row r="245" spans="1:15" x14ac:dyDescent="0.3">
      <c r="A245" s="155"/>
      <c r="B245" s="18"/>
      <c r="C245" s="19"/>
      <c r="D245" s="20"/>
      <c r="E245" s="20"/>
      <c r="F245" s="20"/>
      <c r="G245" s="20"/>
      <c r="H245" s="20"/>
      <c r="I245" s="20"/>
      <c r="J245" s="20"/>
      <c r="K245" s="20"/>
      <c r="L245" s="20"/>
      <c r="M245" s="20"/>
      <c r="N245" s="20"/>
      <c r="O245" s="20"/>
    </row>
    <row r="246" spans="1:15" x14ac:dyDescent="0.3">
      <c r="A246" s="155"/>
      <c r="B246" s="18"/>
      <c r="C246" s="19"/>
      <c r="D246" s="20"/>
      <c r="E246" s="20"/>
      <c r="F246" s="20"/>
      <c r="G246" s="20"/>
      <c r="H246" s="20"/>
      <c r="I246" s="20"/>
      <c r="J246" s="20"/>
      <c r="K246" s="20"/>
      <c r="L246" s="20"/>
      <c r="M246" s="20"/>
      <c r="N246" s="20"/>
      <c r="O246" s="20"/>
    </row>
    <row r="247" spans="1:15" x14ac:dyDescent="0.3">
      <c r="A247" s="155"/>
      <c r="B247" s="18"/>
      <c r="C247" s="19"/>
      <c r="D247" s="20"/>
      <c r="E247" s="20"/>
      <c r="F247" s="20"/>
      <c r="G247" s="20"/>
      <c r="H247" s="20"/>
      <c r="I247" s="20"/>
      <c r="J247" s="20"/>
      <c r="K247" s="20"/>
      <c r="L247" s="20"/>
      <c r="M247" s="20"/>
      <c r="N247" s="20"/>
      <c r="O247" s="20"/>
    </row>
    <row r="248" spans="1:15" x14ac:dyDescent="0.3">
      <c r="A248" s="155"/>
      <c r="B248" s="18"/>
      <c r="C248" s="19"/>
      <c r="D248" s="20"/>
      <c r="E248" s="20"/>
      <c r="F248" s="20"/>
      <c r="G248" s="20"/>
      <c r="H248" s="20"/>
      <c r="I248" s="20"/>
      <c r="J248" s="20"/>
      <c r="K248" s="20"/>
      <c r="L248" s="20"/>
      <c r="M248" s="20"/>
      <c r="N248" s="20"/>
      <c r="O248" s="20"/>
    </row>
    <row r="249" spans="1:15" x14ac:dyDescent="0.3">
      <c r="A249" s="155"/>
      <c r="B249" s="18"/>
      <c r="C249" s="19"/>
      <c r="D249" s="20"/>
      <c r="E249" s="20"/>
      <c r="F249" s="20"/>
      <c r="G249" s="20"/>
      <c r="H249" s="20"/>
      <c r="I249" s="20"/>
      <c r="J249" s="20"/>
      <c r="K249" s="20"/>
      <c r="L249" s="20"/>
      <c r="M249" s="20"/>
      <c r="N249" s="20"/>
      <c r="O249" s="20"/>
    </row>
    <row r="250" spans="1:15" x14ac:dyDescent="0.3">
      <c r="A250" s="155"/>
      <c r="B250" s="18"/>
      <c r="C250" s="19"/>
      <c r="D250" s="20"/>
      <c r="E250" s="20"/>
      <c r="F250" s="20"/>
      <c r="G250" s="20"/>
      <c r="H250" s="20"/>
      <c r="I250" s="20"/>
      <c r="J250" s="20"/>
      <c r="K250" s="20"/>
      <c r="L250" s="20"/>
      <c r="M250" s="20"/>
      <c r="N250" s="20"/>
      <c r="O250" s="20"/>
    </row>
    <row r="251" spans="1:15" x14ac:dyDescent="0.3">
      <c r="A251" s="155"/>
      <c r="B251" s="18"/>
      <c r="C251" s="19"/>
      <c r="D251" s="20"/>
      <c r="E251" s="20"/>
      <c r="F251" s="20"/>
      <c r="G251" s="20"/>
      <c r="H251" s="20"/>
      <c r="I251" s="20"/>
      <c r="J251" s="20"/>
      <c r="K251" s="20"/>
      <c r="L251" s="20"/>
      <c r="M251" s="20"/>
      <c r="N251" s="20"/>
      <c r="O251" s="20"/>
    </row>
    <row r="252" spans="1:15" x14ac:dyDescent="0.3">
      <c r="A252" s="155"/>
      <c r="B252" s="18"/>
      <c r="C252" s="19"/>
      <c r="D252" s="20"/>
      <c r="E252" s="20"/>
      <c r="F252" s="20"/>
      <c r="G252" s="20"/>
      <c r="H252" s="20"/>
      <c r="I252" s="20"/>
      <c r="J252" s="20"/>
      <c r="K252" s="20"/>
      <c r="L252" s="20"/>
      <c r="M252" s="20"/>
      <c r="N252" s="20"/>
      <c r="O252" s="20"/>
    </row>
    <row r="253" spans="1:15" x14ac:dyDescent="0.3">
      <c r="A253" s="155"/>
      <c r="B253" s="18"/>
      <c r="C253" s="19"/>
      <c r="D253" s="20"/>
      <c r="E253" s="20"/>
      <c r="F253" s="20"/>
      <c r="G253" s="20"/>
      <c r="H253" s="20"/>
      <c r="I253" s="20"/>
      <c r="J253" s="20"/>
      <c r="K253" s="20"/>
      <c r="L253" s="20"/>
      <c r="M253" s="20"/>
      <c r="N253" s="20"/>
      <c r="O253" s="20"/>
    </row>
    <row r="254" spans="1:15" x14ac:dyDescent="0.3">
      <c r="A254" s="155"/>
      <c r="B254" s="18"/>
      <c r="C254" s="19"/>
      <c r="D254" s="20"/>
      <c r="E254" s="20"/>
      <c r="F254" s="20"/>
      <c r="G254" s="20"/>
      <c r="H254" s="20"/>
      <c r="I254" s="20"/>
      <c r="J254" s="20"/>
      <c r="K254" s="20"/>
      <c r="L254" s="20"/>
      <c r="M254" s="20"/>
      <c r="N254" s="20"/>
      <c r="O254" s="20"/>
    </row>
    <row r="255" spans="1:15" x14ac:dyDescent="0.3">
      <c r="A255" s="155"/>
      <c r="B255" s="18"/>
      <c r="C255" s="19"/>
      <c r="D255" s="20"/>
      <c r="E255" s="20"/>
      <c r="F255" s="20"/>
      <c r="G255" s="20"/>
      <c r="H255" s="20"/>
      <c r="I255" s="20"/>
      <c r="J255" s="20"/>
      <c r="K255" s="20"/>
      <c r="L255" s="20"/>
      <c r="M255" s="20"/>
      <c r="N255" s="20"/>
      <c r="O255" s="20"/>
    </row>
    <row r="256" spans="1:15" x14ac:dyDescent="0.3">
      <c r="A256" s="155"/>
      <c r="B256" s="18"/>
      <c r="C256" s="19"/>
      <c r="D256" s="20"/>
      <c r="E256" s="20"/>
      <c r="F256" s="20"/>
      <c r="G256" s="20"/>
      <c r="H256" s="20"/>
      <c r="I256" s="20"/>
      <c r="J256" s="20"/>
      <c r="K256" s="20"/>
      <c r="L256" s="20"/>
      <c r="M256" s="20"/>
      <c r="N256" s="20"/>
      <c r="O256" s="20"/>
    </row>
    <row r="257" spans="1:15" x14ac:dyDescent="0.3">
      <c r="A257" s="155"/>
      <c r="B257" s="18"/>
      <c r="C257" s="19"/>
      <c r="D257" s="20"/>
      <c r="E257" s="20"/>
      <c r="F257" s="20"/>
      <c r="G257" s="20"/>
      <c r="H257" s="20"/>
      <c r="I257" s="20"/>
      <c r="J257" s="20"/>
      <c r="K257" s="20"/>
      <c r="L257" s="20"/>
      <c r="M257" s="20"/>
      <c r="N257" s="20"/>
      <c r="O257" s="20"/>
    </row>
    <row r="258" spans="1:15" x14ac:dyDescent="0.3">
      <c r="A258" s="155"/>
      <c r="B258" s="18"/>
      <c r="C258" s="19"/>
      <c r="D258" s="20"/>
      <c r="E258" s="20"/>
      <c r="F258" s="20"/>
      <c r="G258" s="20"/>
      <c r="H258" s="20"/>
      <c r="I258" s="20"/>
      <c r="J258" s="20"/>
      <c r="K258" s="20"/>
      <c r="L258" s="20"/>
      <c r="M258" s="20"/>
      <c r="N258" s="20"/>
      <c r="O258" s="20"/>
    </row>
    <row r="259" spans="1:15" x14ac:dyDescent="0.3">
      <c r="A259" s="155"/>
      <c r="B259" s="18"/>
      <c r="C259" s="19"/>
      <c r="D259" s="20"/>
      <c r="E259" s="20"/>
      <c r="F259" s="20"/>
      <c r="G259" s="20"/>
      <c r="H259" s="20"/>
      <c r="I259" s="20"/>
      <c r="J259" s="20"/>
      <c r="K259" s="20"/>
      <c r="L259" s="20"/>
      <c r="M259" s="20"/>
      <c r="N259" s="20"/>
      <c r="O259" s="20"/>
    </row>
    <row r="260" spans="1:15" x14ac:dyDescent="0.3">
      <c r="A260" s="155"/>
      <c r="B260" s="18"/>
      <c r="C260" s="19"/>
      <c r="D260" s="20"/>
      <c r="E260" s="20"/>
      <c r="F260" s="20"/>
      <c r="G260" s="20"/>
      <c r="H260" s="20"/>
      <c r="I260" s="20"/>
      <c r="J260" s="20"/>
      <c r="K260" s="20"/>
      <c r="L260" s="20"/>
      <c r="M260" s="20"/>
      <c r="N260" s="20"/>
      <c r="O260" s="20"/>
    </row>
    <row r="261" spans="1:15" x14ac:dyDescent="0.3">
      <c r="A261" s="155"/>
      <c r="B261" s="18"/>
      <c r="C261" s="19"/>
      <c r="D261" s="20"/>
      <c r="E261" s="20"/>
      <c r="F261" s="20"/>
      <c r="G261" s="20"/>
      <c r="H261" s="20"/>
      <c r="I261" s="20"/>
      <c r="J261" s="20"/>
      <c r="K261" s="20"/>
      <c r="L261" s="20"/>
      <c r="M261" s="20"/>
      <c r="N261" s="20"/>
      <c r="O261" s="20"/>
    </row>
    <row r="262" spans="1:15" x14ac:dyDescent="0.3">
      <c r="A262" s="155"/>
      <c r="B262" s="18"/>
      <c r="C262" s="19"/>
      <c r="D262" s="20"/>
      <c r="E262" s="20"/>
      <c r="F262" s="20"/>
      <c r="G262" s="20"/>
      <c r="H262" s="20"/>
      <c r="I262" s="20"/>
      <c r="J262" s="20"/>
      <c r="K262" s="20"/>
      <c r="L262" s="20"/>
      <c r="M262" s="20"/>
      <c r="N262" s="20"/>
      <c r="O262" s="20"/>
    </row>
    <row r="263" spans="1:15" x14ac:dyDescent="0.3">
      <c r="A263" s="155"/>
      <c r="B263" s="18"/>
      <c r="C263" s="19"/>
      <c r="D263" s="20"/>
      <c r="E263" s="20"/>
      <c r="F263" s="20"/>
      <c r="G263" s="20"/>
      <c r="H263" s="20"/>
      <c r="I263" s="20"/>
      <c r="J263" s="20"/>
      <c r="K263" s="20"/>
      <c r="L263" s="20"/>
      <c r="M263" s="20"/>
      <c r="N263" s="20"/>
      <c r="O263" s="20"/>
    </row>
    <row r="264" spans="1:15" x14ac:dyDescent="0.3">
      <c r="A264" s="155"/>
      <c r="B264" s="18"/>
      <c r="C264" s="19"/>
      <c r="D264" s="20"/>
      <c r="E264" s="20"/>
      <c r="F264" s="20"/>
      <c r="G264" s="20"/>
      <c r="H264" s="20"/>
      <c r="I264" s="20"/>
      <c r="J264" s="20"/>
      <c r="K264" s="20"/>
      <c r="L264" s="20"/>
      <c r="M264" s="20"/>
      <c r="N264" s="20"/>
      <c r="O264" s="20"/>
    </row>
    <row r="265" spans="1:15" x14ac:dyDescent="0.3">
      <c r="A265" s="155"/>
      <c r="B265" s="18"/>
      <c r="C265" s="19"/>
      <c r="D265" s="20"/>
      <c r="E265" s="20"/>
      <c r="F265" s="20"/>
      <c r="G265" s="20"/>
      <c r="H265" s="20"/>
      <c r="I265" s="20"/>
      <c r="J265" s="20"/>
      <c r="K265" s="20"/>
      <c r="L265" s="20"/>
      <c r="M265" s="20"/>
      <c r="N265" s="20"/>
      <c r="O265" s="20"/>
    </row>
    <row r="266" spans="1:15" x14ac:dyDescent="0.3">
      <c r="A266" s="155"/>
      <c r="B266" s="18"/>
      <c r="C266" s="19"/>
      <c r="D266" s="20"/>
      <c r="E266" s="20"/>
      <c r="F266" s="20"/>
      <c r="G266" s="20"/>
      <c r="H266" s="20"/>
      <c r="I266" s="20"/>
      <c r="J266" s="20"/>
      <c r="K266" s="20"/>
      <c r="L266" s="20"/>
      <c r="M266" s="20"/>
      <c r="N266" s="20"/>
      <c r="O266" s="20"/>
    </row>
    <row r="267" spans="1:15" x14ac:dyDescent="0.3">
      <c r="A267" s="155"/>
      <c r="B267" s="18"/>
      <c r="C267" s="19"/>
      <c r="D267" s="20"/>
      <c r="E267" s="20"/>
      <c r="F267" s="20"/>
      <c r="G267" s="20"/>
      <c r="H267" s="20"/>
      <c r="I267" s="20"/>
      <c r="J267" s="20"/>
      <c r="K267" s="20"/>
      <c r="L267" s="20"/>
      <c r="M267" s="20"/>
      <c r="N267" s="20"/>
      <c r="O267" s="20"/>
    </row>
    <row r="268" spans="1:15" x14ac:dyDescent="0.3">
      <c r="A268" s="155"/>
      <c r="B268" s="18"/>
      <c r="C268" s="19"/>
      <c r="D268" s="20"/>
      <c r="E268" s="20"/>
      <c r="F268" s="20"/>
      <c r="G268" s="20"/>
      <c r="H268" s="20"/>
      <c r="I268" s="20"/>
      <c r="J268" s="20"/>
      <c r="K268" s="20"/>
      <c r="L268" s="20"/>
      <c r="M268" s="20"/>
      <c r="N268" s="20"/>
      <c r="O268" s="20"/>
    </row>
    <row r="269" spans="1:15" x14ac:dyDescent="0.3">
      <c r="A269" s="155"/>
      <c r="B269" s="18"/>
      <c r="C269" s="19"/>
      <c r="D269" s="20"/>
      <c r="E269" s="20"/>
      <c r="F269" s="20"/>
      <c r="G269" s="20"/>
      <c r="H269" s="20"/>
      <c r="I269" s="20"/>
      <c r="J269" s="20"/>
      <c r="K269" s="20"/>
      <c r="L269" s="20"/>
      <c r="M269" s="20"/>
      <c r="N269" s="20"/>
      <c r="O269" s="20"/>
    </row>
    <row r="270" spans="1:15" x14ac:dyDescent="0.3">
      <c r="A270" s="155"/>
      <c r="B270" s="18"/>
      <c r="C270" s="19"/>
      <c r="D270" s="20"/>
      <c r="E270" s="20"/>
      <c r="F270" s="20"/>
      <c r="G270" s="20"/>
      <c r="H270" s="20"/>
      <c r="I270" s="20"/>
      <c r="J270" s="20"/>
      <c r="K270" s="20"/>
      <c r="L270" s="20"/>
      <c r="M270" s="20"/>
      <c r="N270" s="20"/>
      <c r="O270" s="20"/>
    </row>
    <row r="271" spans="1:15" x14ac:dyDescent="0.3">
      <c r="A271" s="155"/>
      <c r="B271" s="18"/>
      <c r="C271" s="19"/>
      <c r="D271" s="20"/>
      <c r="E271" s="20"/>
      <c r="F271" s="20"/>
      <c r="G271" s="20"/>
      <c r="H271" s="20"/>
      <c r="I271" s="20"/>
      <c r="J271" s="20"/>
      <c r="K271" s="20"/>
      <c r="L271" s="20"/>
      <c r="M271" s="20"/>
      <c r="N271" s="20"/>
      <c r="O271" s="20"/>
    </row>
    <row r="272" spans="1:15" x14ac:dyDescent="0.3">
      <c r="A272" s="155"/>
      <c r="B272" s="18"/>
      <c r="C272" s="19"/>
      <c r="D272" s="20"/>
      <c r="E272" s="20"/>
      <c r="F272" s="20"/>
      <c r="G272" s="20"/>
      <c r="H272" s="20"/>
      <c r="I272" s="20"/>
      <c r="J272" s="20"/>
      <c r="K272" s="20"/>
      <c r="L272" s="20"/>
      <c r="M272" s="20"/>
      <c r="N272" s="20"/>
      <c r="O272" s="20"/>
    </row>
    <row r="273" spans="1:15" x14ac:dyDescent="0.3">
      <c r="A273" s="155"/>
      <c r="B273" s="18"/>
      <c r="C273" s="19"/>
      <c r="D273" s="20"/>
      <c r="E273" s="20"/>
      <c r="F273" s="20"/>
      <c r="G273" s="20"/>
      <c r="H273" s="20"/>
      <c r="I273" s="20"/>
      <c r="J273" s="20"/>
      <c r="K273" s="20"/>
      <c r="L273" s="20"/>
      <c r="M273" s="20"/>
      <c r="N273" s="20"/>
      <c r="O273" s="20"/>
    </row>
    <row r="274" spans="1:15" x14ac:dyDescent="0.3">
      <c r="A274" s="155"/>
      <c r="B274" s="18"/>
      <c r="C274" s="19"/>
      <c r="D274" s="20"/>
      <c r="E274" s="20"/>
      <c r="F274" s="20"/>
      <c r="G274" s="20"/>
      <c r="H274" s="20"/>
      <c r="I274" s="20"/>
      <c r="J274" s="20"/>
      <c r="K274" s="20"/>
      <c r="L274" s="20"/>
      <c r="M274" s="20"/>
      <c r="N274" s="20"/>
      <c r="O274" s="20"/>
    </row>
    <row r="275" spans="1:15" x14ac:dyDescent="0.3">
      <c r="A275" s="155"/>
      <c r="B275" s="18"/>
      <c r="C275" s="19"/>
      <c r="D275" s="20"/>
      <c r="E275" s="20"/>
      <c r="F275" s="20"/>
      <c r="G275" s="20"/>
      <c r="H275" s="20"/>
      <c r="I275" s="20"/>
      <c r="J275" s="20"/>
      <c r="K275" s="20"/>
      <c r="L275" s="20"/>
      <c r="M275" s="20"/>
      <c r="N275" s="20"/>
      <c r="O275" s="20"/>
    </row>
    <row r="276" spans="1:15" x14ac:dyDescent="0.3">
      <c r="A276" s="155"/>
      <c r="B276" s="18"/>
      <c r="C276" s="19"/>
      <c r="D276" s="20"/>
      <c r="E276" s="20"/>
      <c r="F276" s="20"/>
      <c r="G276" s="20"/>
      <c r="H276" s="20"/>
      <c r="I276" s="20"/>
      <c r="J276" s="20"/>
      <c r="K276" s="20"/>
      <c r="L276" s="20"/>
      <c r="M276" s="20"/>
      <c r="N276" s="20"/>
      <c r="O276" s="20"/>
    </row>
    <row r="277" spans="1:15" x14ac:dyDescent="0.3">
      <c r="A277" s="155"/>
      <c r="B277" s="18"/>
      <c r="C277" s="19"/>
      <c r="D277" s="20"/>
      <c r="E277" s="20"/>
      <c r="F277" s="20"/>
      <c r="G277" s="20"/>
      <c r="H277" s="20"/>
      <c r="I277" s="20"/>
      <c r="J277" s="20"/>
      <c r="K277" s="20"/>
      <c r="L277" s="20"/>
      <c r="M277" s="20"/>
      <c r="N277" s="20"/>
      <c r="O277" s="20"/>
    </row>
    <row r="278" spans="1:15" x14ac:dyDescent="0.3">
      <c r="A278" s="155"/>
      <c r="B278" s="18"/>
      <c r="C278" s="19"/>
      <c r="D278" s="20"/>
      <c r="E278" s="20"/>
      <c r="F278" s="20"/>
      <c r="G278" s="20"/>
      <c r="H278" s="20"/>
      <c r="I278" s="20"/>
      <c r="J278" s="20"/>
      <c r="K278" s="20"/>
      <c r="L278" s="20"/>
      <c r="M278" s="20"/>
      <c r="N278" s="20"/>
      <c r="O278" s="20"/>
    </row>
    <row r="279" spans="1:15" x14ac:dyDescent="0.3">
      <c r="A279" s="155"/>
      <c r="B279" s="18"/>
      <c r="C279" s="19"/>
      <c r="D279" s="20"/>
      <c r="E279" s="20"/>
      <c r="F279" s="20"/>
      <c r="G279" s="20"/>
      <c r="H279" s="20"/>
      <c r="I279" s="20"/>
      <c r="J279" s="20"/>
      <c r="K279" s="20"/>
      <c r="L279" s="20"/>
      <c r="M279" s="20"/>
      <c r="N279" s="20"/>
      <c r="O279" s="20"/>
    </row>
    <row r="280" spans="1:15" x14ac:dyDescent="0.3">
      <c r="A280" s="155"/>
      <c r="B280" s="18"/>
      <c r="C280" s="19"/>
      <c r="D280" s="20"/>
      <c r="E280" s="20"/>
      <c r="F280" s="20"/>
      <c r="G280" s="20"/>
      <c r="H280" s="20"/>
      <c r="I280" s="20"/>
      <c r="J280" s="20"/>
      <c r="K280" s="20"/>
      <c r="L280" s="20"/>
      <c r="M280" s="20"/>
      <c r="N280" s="20"/>
      <c r="O280" s="20"/>
    </row>
    <row r="281" spans="1:15" x14ac:dyDescent="0.3">
      <c r="A281" s="155"/>
      <c r="B281" s="18"/>
      <c r="C281" s="19"/>
      <c r="D281" s="20"/>
      <c r="E281" s="20"/>
      <c r="F281" s="20"/>
      <c r="G281" s="20"/>
      <c r="H281" s="20"/>
      <c r="I281" s="20"/>
      <c r="J281" s="20"/>
      <c r="K281" s="20"/>
      <c r="L281" s="20"/>
      <c r="M281" s="20"/>
      <c r="N281" s="20"/>
      <c r="O281" s="20"/>
    </row>
    <row r="282" spans="1:15" x14ac:dyDescent="0.3">
      <c r="A282" s="155"/>
      <c r="B282" s="18"/>
      <c r="C282" s="19"/>
      <c r="D282" s="20"/>
      <c r="E282" s="20"/>
      <c r="F282" s="20"/>
      <c r="G282" s="20"/>
      <c r="H282" s="20"/>
      <c r="I282" s="20"/>
      <c r="J282" s="20"/>
      <c r="K282" s="20"/>
      <c r="L282" s="20"/>
      <c r="M282" s="20"/>
      <c r="N282" s="20"/>
      <c r="O282" s="20"/>
    </row>
    <row r="283" spans="1:15" x14ac:dyDescent="0.3">
      <c r="A283" s="155"/>
      <c r="B283" s="18"/>
      <c r="C283" s="19"/>
      <c r="D283" s="20"/>
      <c r="E283" s="20"/>
      <c r="F283" s="20"/>
      <c r="G283" s="20"/>
      <c r="H283" s="20"/>
      <c r="I283" s="20"/>
      <c r="J283" s="20"/>
      <c r="K283" s="20"/>
      <c r="L283" s="20"/>
      <c r="M283" s="20"/>
      <c r="N283" s="20"/>
      <c r="O283" s="20"/>
    </row>
    <row r="284" spans="1:15" x14ac:dyDescent="0.3">
      <c r="A284" s="155"/>
      <c r="B284" s="18"/>
      <c r="C284" s="19"/>
      <c r="D284" s="20"/>
      <c r="E284" s="20"/>
      <c r="F284" s="20"/>
      <c r="G284" s="20"/>
      <c r="H284" s="20"/>
      <c r="I284" s="20"/>
      <c r="J284" s="20"/>
      <c r="K284" s="20"/>
      <c r="L284" s="20"/>
      <c r="M284" s="20"/>
      <c r="N284" s="20"/>
      <c r="O284" s="20"/>
    </row>
    <row r="285" spans="1:15" x14ac:dyDescent="0.3">
      <c r="A285" s="155"/>
      <c r="B285" s="18"/>
      <c r="C285" s="19"/>
      <c r="D285" s="20"/>
      <c r="E285" s="20"/>
      <c r="F285" s="20"/>
      <c r="G285" s="20"/>
      <c r="H285" s="20"/>
      <c r="I285" s="20"/>
      <c r="J285" s="20"/>
      <c r="K285" s="20"/>
      <c r="L285" s="20"/>
      <c r="M285" s="20"/>
      <c r="N285" s="20"/>
      <c r="O285" s="20"/>
    </row>
    <row r="286" spans="1:15" x14ac:dyDescent="0.3">
      <c r="A286" s="155"/>
      <c r="B286" s="18"/>
      <c r="C286" s="19"/>
      <c r="D286" s="20"/>
      <c r="E286" s="20"/>
      <c r="F286" s="20"/>
      <c r="G286" s="20"/>
      <c r="H286" s="20"/>
      <c r="I286" s="20"/>
      <c r="J286" s="20"/>
      <c r="K286" s="20"/>
      <c r="L286" s="20"/>
      <c r="M286" s="20"/>
      <c r="N286" s="20"/>
      <c r="O286" s="20"/>
    </row>
    <row r="287" spans="1:15" x14ac:dyDescent="0.3">
      <c r="A287" s="155"/>
      <c r="B287" s="18"/>
      <c r="C287" s="19"/>
      <c r="D287" s="20"/>
      <c r="E287" s="20"/>
      <c r="F287" s="20"/>
      <c r="G287" s="20"/>
      <c r="H287" s="20"/>
      <c r="I287" s="20"/>
      <c r="J287" s="20"/>
      <c r="K287" s="20"/>
      <c r="L287" s="20"/>
      <c r="M287" s="20"/>
      <c r="N287" s="20"/>
      <c r="O287" s="20"/>
    </row>
    <row r="288" spans="1:15" x14ac:dyDescent="0.3">
      <c r="A288" s="155"/>
      <c r="B288" s="18"/>
      <c r="C288" s="19"/>
      <c r="D288" s="20"/>
      <c r="E288" s="20"/>
      <c r="F288" s="20"/>
      <c r="G288" s="20"/>
      <c r="H288" s="20"/>
      <c r="I288" s="20"/>
      <c r="J288" s="20"/>
      <c r="K288" s="20"/>
      <c r="L288" s="20"/>
      <c r="M288" s="20"/>
      <c r="N288" s="20"/>
      <c r="O288" s="20"/>
    </row>
    <row r="289" spans="1:15" x14ac:dyDescent="0.3">
      <c r="A289" s="155"/>
      <c r="B289" s="18"/>
      <c r="C289" s="19"/>
      <c r="D289" s="20"/>
      <c r="E289" s="20"/>
      <c r="F289" s="20"/>
      <c r="G289" s="20"/>
      <c r="H289" s="20"/>
      <c r="I289" s="20"/>
      <c r="J289" s="20"/>
      <c r="K289" s="20"/>
      <c r="L289" s="20"/>
      <c r="M289" s="20"/>
      <c r="N289" s="20"/>
      <c r="O289" s="20"/>
    </row>
    <row r="290" spans="1:15" x14ac:dyDescent="0.3">
      <c r="A290" s="155"/>
      <c r="B290" s="18"/>
      <c r="C290" s="19"/>
      <c r="D290" s="20"/>
      <c r="E290" s="20"/>
      <c r="F290" s="20"/>
      <c r="G290" s="20"/>
      <c r="H290" s="20"/>
      <c r="I290" s="20"/>
      <c r="J290" s="20"/>
      <c r="K290" s="20"/>
      <c r="L290" s="20"/>
      <c r="M290" s="20"/>
      <c r="N290" s="20"/>
      <c r="O290" s="20"/>
    </row>
    <row r="291" spans="1:15" x14ac:dyDescent="0.3">
      <c r="A291" s="155"/>
      <c r="B291" s="18"/>
      <c r="C291" s="19"/>
      <c r="D291" s="20"/>
      <c r="E291" s="20"/>
      <c r="F291" s="20"/>
      <c r="G291" s="20"/>
      <c r="H291" s="20"/>
      <c r="I291" s="20"/>
      <c r="J291" s="20"/>
      <c r="K291" s="20"/>
      <c r="L291" s="20"/>
      <c r="M291" s="20"/>
      <c r="N291" s="20"/>
      <c r="O291" s="20"/>
    </row>
    <row r="292" spans="1:15" x14ac:dyDescent="0.3">
      <c r="A292" s="155"/>
      <c r="B292" s="18"/>
      <c r="C292" s="19"/>
      <c r="D292" s="20"/>
      <c r="E292" s="20"/>
      <c r="F292" s="20"/>
      <c r="G292" s="20"/>
      <c r="H292" s="20"/>
      <c r="I292" s="20"/>
      <c r="J292" s="20"/>
      <c r="K292" s="20"/>
      <c r="L292" s="20"/>
      <c r="M292" s="20"/>
      <c r="N292" s="20"/>
      <c r="O292" s="20"/>
    </row>
    <row r="293" spans="1:15" x14ac:dyDescent="0.3">
      <c r="A293" s="155"/>
      <c r="B293" s="18"/>
      <c r="C293" s="19"/>
      <c r="D293" s="20"/>
      <c r="E293" s="20"/>
      <c r="F293" s="20"/>
      <c r="G293" s="20"/>
      <c r="H293" s="20"/>
      <c r="I293" s="20"/>
      <c r="J293" s="20"/>
      <c r="K293" s="20"/>
      <c r="L293" s="20"/>
      <c r="M293" s="20"/>
      <c r="N293" s="20"/>
      <c r="O293" s="20"/>
    </row>
    <row r="294" spans="1:15" x14ac:dyDescent="0.3">
      <c r="A294" s="155"/>
      <c r="B294" s="18"/>
      <c r="C294" s="19"/>
      <c r="D294" s="20"/>
      <c r="E294" s="20"/>
      <c r="F294" s="20"/>
      <c r="G294" s="20"/>
      <c r="H294" s="20"/>
      <c r="I294" s="20"/>
      <c r="J294" s="20"/>
      <c r="K294" s="20"/>
      <c r="L294" s="20"/>
      <c r="M294" s="20"/>
      <c r="N294" s="20"/>
      <c r="O294" s="20"/>
    </row>
    <row r="295" spans="1:15" x14ac:dyDescent="0.3">
      <c r="A295" s="155"/>
      <c r="B295" s="18"/>
      <c r="C295" s="19"/>
      <c r="D295" s="20"/>
      <c r="E295" s="20"/>
      <c r="F295" s="20"/>
      <c r="G295" s="20"/>
      <c r="H295" s="20"/>
      <c r="I295" s="20"/>
      <c r="J295" s="20"/>
      <c r="K295" s="20"/>
      <c r="L295" s="20"/>
      <c r="M295" s="20"/>
      <c r="N295" s="20"/>
      <c r="O295" s="20"/>
    </row>
    <row r="296" spans="1:15" x14ac:dyDescent="0.3">
      <c r="A296" s="155"/>
      <c r="B296" s="18"/>
      <c r="C296" s="19"/>
      <c r="D296" s="20"/>
      <c r="E296" s="20"/>
      <c r="F296" s="20"/>
      <c r="G296" s="20"/>
      <c r="H296" s="20"/>
      <c r="I296" s="20"/>
      <c r="J296" s="20"/>
      <c r="K296" s="20"/>
      <c r="L296" s="20"/>
      <c r="M296" s="20"/>
      <c r="N296" s="20"/>
      <c r="O296" s="20"/>
    </row>
    <row r="297" spans="1:15" x14ac:dyDescent="0.3">
      <c r="A297" s="155"/>
      <c r="B297" s="18"/>
      <c r="C297" s="19"/>
      <c r="D297" s="20"/>
      <c r="E297" s="20"/>
      <c r="F297" s="20"/>
      <c r="G297" s="20"/>
      <c r="H297" s="20"/>
      <c r="I297" s="20"/>
      <c r="J297" s="20"/>
      <c r="K297" s="20"/>
      <c r="L297" s="20"/>
      <c r="M297" s="20"/>
      <c r="N297" s="20"/>
      <c r="O297" s="20"/>
    </row>
    <row r="298" spans="1:15" x14ac:dyDescent="0.3">
      <c r="A298" s="155"/>
      <c r="B298" s="18"/>
      <c r="C298" s="19"/>
      <c r="D298" s="20"/>
      <c r="E298" s="20"/>
      <c r="F298" s="20"/>
      <c r="G298" s="20"/>
      <c r="H298" s="20"/>
      <c r="I298" s="20"/>
      <c r="J298" s="20"/>
      <c r="K298" s="20"/>
      <c r="L298" s="20"/>
      <c r="M298" s="20"/>
      <c r="N298" s="20"/>
      <c r="O298" s="20"/>
    </row>
    <row r="299" spans="1:15" x14ac:dyDescent="0.3">
      <c r="A299" s="155"/>
      <c r="B299" s="18"/>
      <c r="C299" s="19"/>
      <c r="D299" s="20"/>
      <c r="E299" s="20"/>
      <c r="F299" s="20"/>
      <c r="G299" s="20"/>
      <c r="H299" s="20"/>
      <c r="I299" s="20"/>
      <c r="J299" s="20"/>
      <c r="K299" s="20"/>
      <c r="L299" s="20"/>
      <c r="M299" s="20"/>
      <c r="N299" s="20"/>
      <c r="O299" s="20"/>
    </row>
    <row r="300" spans="1:15" x14ac:dyDescent="0.3">
      <c r="A300" s="155"/>
      <c r="B300" s="18"/>
      <c r="C300" s="19"/>
      <c r="D300" s="20"/>
      <c r="E300" s="20"/>
      <c r="F300" s="20"/>
      <c r="G300" s="20"/>
      <c r="H300" s="20"/>
      <c r="I300" s="20"/>
      <c r="J300" s="20"/>
      <c r="K300" s="20"/>
      <c r="L300" s="20"/>
      <c r="M300" s="20"/>
      <c r="N300" s="20"/>
      <c r="O300" s="20"/>
    </row>
    <row r="301" spans="1:15" x14ac:dyDescent="0.3">
      <c r="A301" s="155"/>
      <c r="B301" s="18"/>
      <c r="C301" s="19"/>
      <c r="D301" s="20"/>
      <c r="E301" s="20"/>
      <c r="F301" s="20"/>
      <c r="G301" s="20"/>
      <c r="H301" s="20"/>
      <c r="I301" s="20"/>
      <c r="J301" s="20"/>
      <c r="K301" s="20"/>
      <c r="L301" s="20"/>
      <c r="M301" s="20"/>
      <c r="N301" s="20"/>
      <c r="O301" s="20"/>
    </row>
    <row r="302" spans="1:15" x14ac:dyDescent="0.3">
      <c r="A302" s="155"/>
      <c r="B302" s="18"/>
      <c r="C302" s="19"/>
      <c r="D302" s="20"/>
      <c r="E302" s="20"/>
      <c r="F302" s="20"/>
      <c r="G302" s="20"/>
      <c r="H302" s="20"/>
      <c r="I302" s="20"/>
      <c r="J302" s="20"/>
      <c r="K302" s="20"/>
      <c r="L302" s="20"/>
      <c r="M302" s="20"/>
      <c r="N302" s="20"/>
      <c r="O302" s="20"/>
    </row>
    <row r="303" spans="1:15" x14ac:dyDescent="0.3">
      <c r="A303" s="155"/>
      <c r="B303" s="18"/>
      <c r="C303" s="19"/>
      <c r="D303" s="20"/>
      <c r="E303" s="20"/>
      <c r="F303" s="20"/>
      <c r="G303" s="20"/>
      <c r="H303" s="20"/>
      <c r="I303" s="20"/>
      <c r="J303" s="20"/>
      <c r="K303" s="20"/>
      <c r="L303" s="20"/>
      <c r="M303" s="20"/>
      <c r="N303" s="20"/>
      <c r="O303" s="20"/>
    </row>
    <row r="304" spans="1:15" x14ac:dyDescent="0.3">
      <c r="A304" s="155"/>
      <c r="B304" s="18"/>
      <c r="C304" s="19"/>
      <c r="D304" s="20"/>
      <c r="E304" s="20"/>
      <c r="F304" s="20"/>
      <c r="G304" s="20"/>
      <c r="H304" s="20"/>
      <c r="I304" s="20"/>
      <c r="J304" s="20"/>
      <c r="K304" s="20"/>
      <c r="L304" s="20"/>
      <c r="M304" s="20"/>
      <c r="N304" s="20"/>
      <c r="O304" s="20"/>
    </row>
    <row r="305" spans="1:15" x14ac:dyDescent="0.3">
      <c r="A305" s="155"/>
      <c r="B305" s="18"/>
      <c r="C305" s="19"/>
      <c r="D305" s="20"/>
      <c r="E305" s="20"/>
      <c r="F305" s="20"/>
      <c r="G305" s="20"/>
      <c r="H305" s="20"/>
      <c r="I305" s="20"/>
      <c r="J305" s="20"/>
      <c r="K305" s="20"/>
      <c r="L305" s="20"/>
      <c r="M305" s="20"/>
      <c r="N305" s="20"/>
      <c r="O305" s="20"/>
    </row>
    <row r="306" spans="1:15" x14ac:dyDescent="0.3">
      <c r="A306" s="155"/>
      <c r="B306" s="18"/>
      <c r="C306" s="19"/>
      <c r="D306" s="20"/>
      <c r="E306" s="20"/>
      <c r="F306" s="20"/>
      <c r="G306" s="20"/>
      <c r="H306" s="20"/>
      <c r="I306" s="20"/>
      <c r="J306" s="20"/>
      <c r="K306" s="20"/>
      <c r="L306" s="20"/>
      <c r="M306" s="20"/>
      <c r="N306" s="20"/>
      <c r="O306" s="20"/>
    </row>
    <row r="307" spans="1:15" x14ac:dyDescent="0.3">
      <c r="A307" s="155"/>
      <c r="B307" s="18"/>
      <c r="C307" s="19"/>
      <c r="D307" s="20"/>
      <c r="E307" s="20"/>
      <c r="F307" s="20"/>
      <c r="G307" s="20"/>
      <c r="H307" s="20"/>
      <c r="I307" s="20"/>
      <c r="J307" s="20"/>
      <c r="K307" s="20"/>
      <c r="L307" s="20"/>
      <c r="M307" s="20"/>
      <c r="N307" s="20"/>
      <c r="O307" s="20"/>
    </row>
    <row r="308" spans="1:15" x14ac:dyDescent="0.3">
      <c r="A308" s="155"/>
      <c r="B308" s="18"/>
      <c r="C308" s="19"/>
      <c r="D308" s="20"/>
      <c r="E308" s="20"/>
      <c r="F308" s="20"/>
      <c r="G308" s="20"/>
      <c r="H308" s="20"/>
      <c r="I308" s="20"/>
      <c r="J308" s="20"/>
      <c r="K308" s="20"/>
      <c r="L308" s="20"/>
      <c r="M308" s="20"/>
      <c r="N308" s="20"/>
      <c r="O308" s="20"/>
    </row>
    <row r="309" spans="1:15" x14ac:dyDescent="0.3">
      <c r="A309" s="155"/>
      <c r="B309" s="18"/>
      <c r="C309" s="19"/>
      <c r="D309" s="20"/>
      <c r="E309" s="20"/>
      <c r="F309" s="20"/>
      <c r="G309" s="20"/>
      <c r="H309" s="20"/>
      <c r="I309" s="20"/>
      <c r="J309" s="20"/>
      <c r="K309" s="20"/>
      <c r="L309" s="20"/>
      <c r="M309" s="20"/>
      <c r="N309" s="20"/>
      <c r="O309" s="20"/>
    </row>
    <row r="310" spans="1:15" x14ac:dyDescent="0.3">
      <c r="A310" s="155"/>
      <c r="B310" s="18"/>
      <c r="C310" s="19"/>
      <c r="D310" s="20"/>
      <c r="E310" s="20"/>
      <c r="F310" s="20"/>
      <c r="G310" s="20"/>
      <c r="H310" s="20"/>
      <c r="I310" s="20"/>
      <c r="J310" s="20"/>
      <c r="K310" s="20"/>
      <c r="L310" s="20"/>
      <c r="M310" s="20"/>
      <c r="N310" s="20"/>
      <c r="O310" s="20"/>
    </row>
    <row r="311" spans="1:15" x14ac:dyDescent="0.3">
      <c r="A311" s="155"/>
      <c r="B311" s="18"/>
      <c r="C311" s="19"/>
      <c r="D311" s="20"/>
      <c r="E311" s="20"/>
      <c r="F311" s="20"/>
      <c r="G311" s="20"/>
      <c r="H311" s="20"/>
      <c r="I311" s="20"/>
      <c r="J311" s="20"/>
      <c r="K311" s="20"/>
      <c r="L311" s="20"/>
      <c r="M311" s="20"/>
      <c r="N311" s="20"/>
      <c r="O311" s="20"/>
    </row>
    <row r="312" spans="1:15" x14ac:dyDescent="0.3">
      <c r="A312" s="155"/>
      <c r="B312" s="18"/>
      <c r="C312" s="19"/>
      <c r="D312" s="20"/>
      <c r="E312" s="20"/>
      <c r="F312" s="20"/>
      <c r="G312" s="20"/>
      <c r="H312" s="20"/>
      <c r="I312" s="20"/>
      <c r="J312" s="20"/>
      <c r="K312" s="20"/>
      <c r="L312" s="20"/>
      <c r="M312" s="20"/>
      <c r="N312" s="20"/>
      <c r="O312" s="20"/>
    </row>
    <row r="313" spans="1:15" x14ac:dyDescent="0.3">
      <c r="A313" s="155"/>
      <c r="B313" s="18"/>
      <c r="C313" s="19"/>
      <c r="D313" s="20"/>
      <c r="E313" s="20"/>
      <c r="F313" s="20"/>
      <c r="G313" s="20"/>
      <c r="H313" s="20"/>
      <c r="I313" s="20"/>
      <c r="J313" s="20"/>
      <c r="K313" s="20"/>
      <c r="L313" s="20"/>
      <c r="M313" s="20"/>
      <c r="N313" s="20"/>
      <c r="O313" s="20"/>
    </row>
    <row r="314" spans="1:15" x14ac:dyDescent="0.3">
      <c r="A314" s="155"/>
      <c r="B314" s="18"/>
      <c r="C314" s="19"/>
      <c r="D314" s="20"/>
      <c r="E314" s="20"/>
      <c r="F314" s="20"/>
      <c r="G314" s="20"/>
      <c r="H314" s="20"/>
      <c r="I314" s="20"/>
      <c r="J314" s="20"/>
      <c r="K314" s="20"/>
      <c r="L314" s="20"/>
      <c r="M314" s="20"/>
      <c r="N314" s="20"/>
      <c r="O314" s="20"/>
    </row>
    <row r="315" spans="1:15" x14ac:dyDescent="0.3">
      <c r="A315" s="155"/>
      <c r="B315" s="18"/>
      <c r="C315" s="19"/>
      <c r="D315" s="20"/>
      <c r="E315" s="20"/>
      <c r="F315" s="20"/>
      <c r="G315" s="20"/>
      <c r="H315" s="20"/>
      <c r="I315" s="20"/>
      <c r="J315" s="20"/>
      <c r="K315" s="20"/>
      <c r="L315" s="20"/>
      <c r="M315" s="20"/>
      <c r="N315" s="20"/>
      <c r="O315" s="20"/>
    </row>
    <row r="316" spans="1:15" x14ac:dyDescent="0.3">
      <c r="A316" s="155"/>
      <c r="B316" s="18"/>
      <c r="C316" s="19"/>
      <c r="D316" s="20"/>
      <c r="E316" s="20"/>
      <c r="F316" s="20"/>
      <c r="G316" s="20"/>
      <c r="H316" s="20"/>
      <c r="I316" s="20"/>
      <c r="J316" s="20"/>
      <c r="K316" s="20"/>
      <c r="L316" s="20"/>
      <c r="M316" s="20"/>
      <c r="N316" s="20"/>
      <c r="O316" s="20"/>
    </row>
    <row r="317" spans="1:15" x14ac:dyDescent="0.3">
      <c r="A317" s="155"/>
      <c r="B317" s="18"/>
      <c r="C317" s="19"/>
      <c r="D317" s="20"/>
      <c r="E317" s="20"/>
      <c r="F317" s="20"/>
      <c r="G317" s="20"/>
      <c r="H317" s="20"/>
      <c r="I317" s="20"/>
      <c r="J317" s="20"/>
      <c r="K317" s="20"/>
      <c r="L317" s="20"/>
      <c r="M317" s="20"/>
      <c r="N317" s="20"/>
      <c r="O317" s="20"/>
    </row>
    <row r="318" spans="1:15" x14ac:dyDescent="0.3">
      <c r="A318" s="155"/>
      <c r="B318" s="18"/>
      <c r="C318" s="19"/>
      <c r="D318" s="20"/>
      <c r="E318" s="20"/>
      <c r="F318" s="20"/>
      <c r="G318" s="20"/>
      <c r="H318" s="20"/>
      <c r="I318" s="20"/>
      <c r="J318" s="20"/>
      <c r="K318" s="20"/>
      <c r="L318" s="20"/>
      <c r="M318" s="20"/>
      <c r="N318" s="20"/>
      <c r="O318" s="20"/>
    </row>
    <row r="319" spans="1:15" x14ac:dyDescent="0.3">
      <c r="A319" s="155"/>
      <c r="B319" s="18"/>
      <c r="C319" s="19"/>
      <c r="D319" s="20"/>
      <c r="E319" s="20"/>
      <c r="F319" s="20"/>
      <c r="G319" s="20"/>
      <c r="H319" s="20"/>
      <c r="I319" s="20"/>
      <c r="J319" s="20"/>
      <c r="K319" s="20"/>
      <c r="L319" s="20"/>
      <c r="M319" s="20"/>
      <c r="N319" s="20"/>
      <c r="O319" s="20"/>
    </row>
    <row r="320" spans="1:15" x14ac:dyDescent="0.3">
      <c r="A320" s="155"/>
      <c r="B320" s="18"/>
      <c r="C320" s="19"/>
      <c r="D320" s="20"/>
      <c r="E320" s="20"/>
      <c r="F320" s="20"/>
      <c r="G320" s="20"/>
      <c r="H320" s="20"/>
      <c r="I320" s="20"/>
      <c r="J320" s="20"/>
      <c r="K320" s="20"/>
      <c r="L320" s="20"/>
      <c r="M320" s="20"/>
      <c r="N320" s="20"/>
      <c r="O320" s="20"/>
    </row>
    <row r="321" spans="1:15" x14ac:dyDescent="0.3">
      <c r="A321" s="155"/>
      <c r="B321" s="18"/>
      <c r="C321" s="19"/>
      <c r="D321" s="20"/>
      <c r="E321" s="20"/>
      <c r="F321" s="20"/>
      <c r="G321" s="20"/>
      <c r="H321" s="20"/>
      <c r="I321" s="20"/>
      <c r="J321" s="20"/>
      <c r="K321" s="20"/>
      <c r="L321" s="20"/>
      <c r="M321" s="20"/>
      <c r="N321" s="20"/>
      <c r="O321" s="20"/>
    </row>
    <row r="322" spans="1:15" x14ac:dyDescent="0.3">
      <c r="A322" s="155"/>
      <c r="B322" s="18"/>
      <c r="C322" s="19"/>
      <c r="D322" s="20"/>
      <c r="E322" s="20"/>
      <c r="F322" s="20"/>
      <c r="G322" s="20"/>
      <c r="H322" s="20"/>
      <c r="I322" s="20"/>
      <c r="J322" s="20"/>
      <c r="K322" s="20"/>
      <c r="L322" s="20"/>
      <c r="M322" s="20"/>
      <c r="N322" s="20"/>
      <c r="O322" s="20"/>
    </row>
    <row r="323" spans="1:15" x14ac:dyDescent="0.3">
      <c r="A323" s="155"/>
      <c r="B323" s="18"/>
      <c r="C323" s="19"/>
      <c r="D323" s="20"/>
      <c r="E323" s="20"/>
      <c r="F323" s="20"/>
      <c r="G323" s="20"/>
      <c r="H323" s="20"/>
      <c r="I323" s="20"/>
      <c r="J323" s="20"/>
      <c r="K323" s="20"/>
      <c r="L323" s="20"/>
      <c r="M323" s="20"/>
      <c r="N323" s="20"/>
      <c r="O323" s="20"/>
    </row>
    <row r="324" spans="1:15" x14ac:dyDescent="0.3">
      <c r="A324" s="155"/>
      <c r="B324" s="18"/>
      <c r="C324" s="19"/>
      <c r="D324" s="20"/>
      <c r="E324" s="20"/>
      <c r="F324" s="20"/>
      <c r="G324" s="20"/>
      <c r="H324" s="20"/>
      <c r="I324" s="20"/>
      <c r="J324" s="20"/>
      <c r="K324" s="20"/>
      <c r="L324" s="20"/>
      <c r="M324" s="20"/>
      <c r="N324" s="20"/>
      <c r="O324" s="20"/>
    </row>
    <row r="325" spans="1:15" x14ac:dyDescent="0.3">
      <c r="A325" s="155"/>
      <c r="B325" s="18"/>
      <c r="C325" s="19"/>
      <c r="D325" s="20"/>
      <c r="E325" s="20"/>
      <c r="F325" s="20"/>
      <c r="G325" s="20"/>
      <c r="H325" s="20"/>
      <c r="I325" s="20"/>
      <c r="J325" s="20"/>
      <c r="K325" s="20"/>
      <c r="L325" s="20"/>
      <c r="M325" s="20"/>
      <c r="N325" s="20"/>
      <c r="O325" s="20"/>
    </row>
    <row r="326" spans="1:15" x14ac:dyDescent="0.3">
      <c r="A326" s="155"/>
      <c r="B326" s="18"/>
      <c r="C326" s="19"/>
      <c r="D326" s="20"/>
      <c r="E326" s="20"/>
      <c r="F326" s="20"/>
      <c r="G326" s="20"/>
      <c r="H326" s="20"/>
      <c r="I326" s="20"/>
      <c r="J326" s="20"/>
      <c r="K326" s="20"/>
      <c r="L326" s="20"/>
      <c r="M326" s="20"/>
      <c r="N326" s="20"/>
      <c r="O326" s="20"/>
    </row>
    <row r="327" spans="1:15" x14ac:dyDescent="0.3">
      <c r="A327" s="155"/>
      <c r="B327" s="18"/>
      <c r="C327" s="19"/>
      <c r="D327" s="20"/>
      <c r="E327" s="20"/>
      <c r="F327" s="20"/>
      <c r="G327" s="20"/>
      <c r="H327" s="20"/>
      <c r="I327" s="20"/>
      <c r="J327" s="20"/>
      <c r="K327" s="20"/>
      <c r="L327" s="20"/>
      <c r="M327" s="20"/>
      <c r="N327" s="20"/>
      <c r="O327" s="20"/>
    </row>
    <row r="328" spans="1:15" x14ac:dyDescent="0.3">
      <c r="A328" s="155"/>
      <c r="B328" s="18"/>
      <c r="C328" s="19"/>
      <c r="D328" s="20"/>
      <c r="E328" s="20"/>
      <c r="F328" s="20"/>
      <c r="G328" s="20"/>
      <c r="H328" s="20"/>
      <c r="I328" s="20"/>
      <c r="J328" s="20"/>
      <c r="K328" s="20"/>
      <c r="L328" s="20"/>
      <c r="M328" s="20"/>
      <c r="N328" s="20"/>
      <c r="O328" s="20"/>
    </row>
    <row r="329" spans="1:15" x14ac:dyDescent="0.3">
      <c r="A329" s="155"/>
      <c r="B329" s="18"/>
      <c r="C329" s="19"/>
      <c r="D329" s="20"/>
      <c r="E329" s="20"/>
      <c r="F329" s="20"/>
      <c r="G329" s="20"/>
      <c r="H329" s="20"/>
      <c r="I329" s="20"/>
      <c r="J329" s="20"/>
      <c r="K329" s="20"/>
      <c r="L329" s="20"/>
      <c r="M329" s="20"/>
      <c r="N329" s="20"/>
      <c r="O329" s="20"/>
    </row>
    <row r="330" spans="1:15" x14ac:dyDescent="0.3">
      <c r="A330" s="155"/>
      <c r="B330" s="18"/>
      <c r="C330" s="19"/>
      <c r="D330" s="20"/>
      <c r="E330" s="20"/>
      <c r="F330" s="20"/>
      <c r="G330" s="20"/>
      <c r="H330" s="20"/>
      <c r="I330" s="20"/>
      <c r="J330" s="20"/>
      <c r="K330" s="20"/>
      <c r="L330" s="20"/>
      <c r="M330" s="20"/>
      <c r="N330" s="20"/>
      <c r="O330" s="20"/>
    </row>
    <row r="331" spans="1:15" x14ac:dyDescent="0.3">
      <c r="A331" s="155"/>
      <c r="B331" s="18"/>
      <c r="C331" s="19"/>
      <c r="D331" s="20"/>
      <c r="E331" s="20"/>
      <c r="F331" s="20"/>
      <c r="G331" s="20"/>
      <c r="H331" s="20"/>
      <c r="I331" s="20"/>
      <c r="J331" s="20"/>
      <c r="K331" s="20"/>
      <c r="L331" s="20"/>
      <c r="M331" s="20"/>
      <c r="N331" s="20"/>
      <c r="O331" s="20"/>
    </row>
    <row r="332" spans="1:15" x14ac:dyDescent="0.3">
      <c r="A332" s="155"/>
      <c r="B332" s="18"/>
      <c r="C332" s="19"/>
      <c r="D332" s="20"/>
      <c r="E332" s="20"/>
      <c r="F332" s="20"/>
      <c r="G332" s="20"/>
      <c r="H332" s="20"/>
      <c r="I332" s="20"/>
      <c r="J332" s="20"/>
      <c r="K332" s="20"/>
      <c r="L332" s="20"/>
      <c r="M332" s="20"/>
      <c r="N332" s="20"/>
      <c r="O332" s="20"/>
    </row>
    <row r="333" spans="1:15" x14ac:dyDescent="0.3">
      <c r="A333" s="155"/>
      <c r="B333" s="18"/>
      <c r="C333" s="19"/>
      <c r="D333" s="20"/>
      <c r="E333" s="20"/>
      <c r="F333" s="20"/>
      <c r="G333" s="20"/>
      <c r="H333" s="20"/>
      <c r="I333" s="20"/>
      <c r="J333" s="20"/>
      <c r="K333" s="20"/>
      <c r="L333" s="20"/>
      <c r="M333" s="20"/>
      <c r="N333" s="20"/>
      <c r="O333" s="20"/>
    </row>
    <row r="334" spans="1:15" x14ac:dyDescent="0.3">
      <c r="A334" s="155"/>
      <c r="B334" s="18"/>
      <c r="C334" s="19"/>
      <c r="D334" s="20"/>
      <c r="E334" s="20"/>
      <c r="F334" s="20"/>
      <c r="G334" s="20"/>
      <c r="H334" s="20"/>
      <c r="I334" s="20"/>
      <c r="J334" s="20"/>
      <c r="K334" s="20"/>
      <c r="L334" s="20"/>
      <c r="M334" s="20"/>
      <c r="N334" s="20"/>
      <c r="O334" s="20"/>
    </row>
    <row r="335" spans="1:15" x14ac:dyDescent="0.3">
      <c r="A335" s="155"/>
      <c r="B335" s="18"/>
      <c r="C335" s="19"/>
      <c r="D335" s="20"/>
      <c r="E335" s="20"/>
      <c r="F335" s="20"/>
      <c r="G335" s="20"/>
      <c r="H335" s="20"/>
      <c r="I335" s="20"/>
      <c r="J335" s="20"/>
      <c r="K335" s="20"/>
      <c r="L335" s="20"/>
      <c r="M335" s="20"/>
      <c r="N335" s="20"/>
      <c r="O335" s="20"/>
    </row>
    <row r="336" spans="1:15" x14ac:dyDescent="0.3">
      <c r="A336" s="155"/>
      <c r="B336" s="18"/>
      <c r="C336" s="19"/>
      <c r="D336" s="20"/>
      <c r="E336" s="20"/>
      <c r="F336" s="20"/>
      <c r="G336" s="20"/>
      <c r="H336" s="20"/>
      <c r="I336" s="20"/>
      <c r="J336" s="20"/>
      <c r="K336" s="20"/>
      <c r="L336" s="20"/>
      <c r="M336" s="20"/>
      <c r="N336" s="20"/>
      <c r="O336" s="20"/>
    </row>
    <row r="337" spans="1:15" x14ac:dyDescent="0.3">
      <c r="A337" s="155"/>
      <c r="B337" s="18"/>
      <c r="C337" s="19"/>
      <c r="D337" s="20"/>
      <c r="E337" s="20"/>
      <c r="F337" s="20"/>
      <c r="G337" s="20"/>
      <c r="H337" s="20"/>
      <c r="I337" s="20"/>
      <c r="J337" s="20"/>
      <c r="K337" s="20"/>
      <c r="L337" s="20"/>
      <c r="M337" s="20"/>
      <c r="N337" s="20"/>
      <c r="O337" s="20"/>
    </row>
    <row r="338" spans="1:15" x14ac:dyDescent="0.3">
      <c r="A338" s="155"/>
      <c r="B338" s="18"/>
      <c r="C338" s="19"/>
      <c r="D338" s="20"/>
      <c r="E338" s="20"/>
      <c r="F338" s="20"/>
      <c r="G338" s="20"/>
      <c r="H338" s="20"/>
      <c r="I338" s="20"/>
      <c r="J338" s="20"/>
      <c r="K338" s="20"/>
      <c r="L338" s="20"/>
      <c r="M338" s="20"/>
      <c r="N338" s="20"/>
      <c r="O338" s="20"/>
    </row>
    <row r="339" spans="1:15" x14ac:dyDescent="0.3">
      <c r="A339" s="155"/>
      <c r="B339" s="18"/>
      <c r="C339" s="19"/>
      <c r="D339" s="20"/>
      <c r="E339" s="20"/>
      <c r="F339" s="20"/>
      <c r="G339" s="20"/>
      <c r="H339" s="20"/>
      <c r="I339" s="20"/>
      <c r="J339" s="20"/>
      <c r="K339" s="20"/>
      <c r="L339" s="20"/>
      <c r="M339" s="20"/>
      <c r="N339" s="20"/>
      <c r="O339" s="20"/>
    </row>
    <row r="340" spans="1:15" x14ac:dyDescent="0.3">
      <c r="A340" s="155"/>
      <c r="B340" s="18"/>
      <c r="C340" s="19"/>
      <c r="D340" s="20"/>
      <c r="E340" s="20"/>
      <c r="F340" s="20"/>
      <c r="G340" s="20"/>
      <c r="H340" s="20"/>
      <c r="I340" s="20"/>
      <c r="J340" s="20"/>
      <c r="K340" s="20"/>
      <c r="L340" s="20"/>
      <c r="M340" s="20"/>
      <c r="N340" s="20"/>
      <c r="O340" s="20"/>
    </row>
    <row r="341" spans="1:15" x14ac:dyDescent="0.3">
      <c r="A341" s="155"/>
      <c r="B341" s="18"/>
      <c r="C341" s="19"/>
      <c r="D341" s="20"/>
      <c r="E341" s="20"/>
      <c r="F341" s="20"/>
      <c r="G341" s="20"/>
      <c r="H341" s="20"/>
      <c r="I341" s="20"/>
      <c r="J341" s="20"/>
      <c r="K341" s="20"/>
      <c r="L341" s="20"/>
      <c r="M341" s="20"/>
      <c r="N341" s="20"/>
      <c r="O341" s="20"/>
    </row>
    <row r="342" spans="1:15" x14ac:dyDescent="0.3">
      <c r="A342" s="155"/>
      <c r="B342" s="18"/>
      <c r="C342" s="19"/>
      <c r="D342" s="20"/>
      <c r="E342" s="20"/>
      <c r="F342" s="20"/>
      <c r="G342" s="20"/>
      <c r="H342" s="20"/>
      <c r="I342" s="20"/>
      <c r="J342" s="20"/>
      <c r="K342" s="20"/>
      <c r="L342" s="20"/>
      <c r="M342" s="20"/>
      <c r="N342" s="20"/>
      <c r="O342" s="20"/>
    </row>
    <row r="343" spans="1:15" x14ac:dyDescent="0.3">
      <c r="A343" s="155"/>
      <c r="B343" s="18"/>
      <c r="C343" s="19"/>
      <c r="D343" s="20"/>
      <c r="E343" s="20"/>
      <c r="F343" s="20"/>
      <c r="G343" s="20"/>
      <c r="H343" s="20"/>
      <c r="I343" s="20"/>
      <c r="J343" s="20"/>
      <c r="K343" s="20"/>
      <c r="L343" s="20"/>
      <c r="M343" s="20"/>
      <c r="N343" s="20"/>
      <c r="O343" s="20"/>
    </row>
    <row r="344" spans="1:15" x14ac:dyDescent="0.3">
      <c r="A344" s="155"/>
      <c r="B344" s="18"/>
      <c r="C344" s="19"/>
      <c r="D344" s="20"/>
      <c r="E344" s="20"/>
      <c r="F344" s="20"/>
      <c r="G344" s="20"/>
      <c r="H344" s="20"/>
      <c r="I344" s="20"/>
      <c r="J344" s="20"/>
      <c r="K344" s="20"/>
      <c r="L344" s="20"/>
      <c r="M344" s="20"/>
      <c r="N344" s="20"/>
      <c r="O344" s="20"/>
    </row>
    <row r="345" spans="1:15" x14ac:dyDescent="0.3">
      <c r="A345" s="155"/>
      <c r="B345" s="18"/>
      <c r="C345" s="19"/>
      <c r="D345" s="20"/>
      <c r="E345" s="20"/>
      <c r="F345" s="20"/>
      <c r="G345" s="20"/>
      <c r="H345" s="20"/>
      <c r="I345" s="20"/>
      <c r="J345" s="20"/>
      <c r="K345" s="20"/>
      <c r="L345" s="20"/>
      <c r="M345" s="20"/>
      <c r="N345" s="20"/>
      <c r="O345" s="20"/>
    </row>
    <row r="346" spans="1:15" x14ac:dyDescent="0.3">
      <c r="A346" s="155"/>
      <c r="B346" s="18"/>
      <c r="C346" s="19"/>
      <c r="D346" s="20"/>
      <c r="E346" s="20"/>
      <c r="F346" s="20"/>
      <c r="G346" s="20"/>
      <c r="H346" s="20"/>
      <c r="I346" s="20"/>
      <c r="J346" s="20"/>
      <c r="K346" s="20"/>
      <c r="L346" s="20"/>
      <c r="M346" s="20"/>
      <c r="N346" s="20"/>
      <c r="O346" s="20"/>
    </row>
    <row r="347" spans="1:15" x14ac:dyDescent="0.3">
      <c r="A347" s="155"/>
      <c r="B347" s="18"/>
      <c r="C347" s="19"/>
      <c r="D347" s="20"/>
      <c r="E347" s="20"/>
      <c r="F347" s="20"/>
      <c r="G347" s="20"/>
      <c r="H347" s="20"/>
      <c r="I347" s="20"/>
      <c r="J347" s="20"/>
      <c r="K347" s="20"/>
      <c r="L347" s="20"/>
      <c r="M347" s="20"/>
      <c r="N347" s="20"/>
      <c r="O347" s="20"/>
    </row>
    <row r="348" spans="1:15" x14ac:dyDescent="0.3">
      <c r="A348" s="155"/>
      <c r="B348" s="18"/>
      <c r="C348" s="19"/>
      <c r="D348" s="20"/>
      <c r="E348" s="20"/>
      <c r="F348" s="20"/>
      <c r="G348" s="20"/>
      <c r="H348" s="20"/>
      <c r="I348" s="20"/>
      <c r="J348" s="20"/>
      <c r="K348" s="20"/>
      <c r="L348" s="20"/>
      <c r="M348" s="20"/>
      <c r="N348" s="20"/>
      <c r="O348" s="20"/>
    </row>
    <row r="349" spans="1:15" x14ac:dyDescent="0.3">
      <c r="A349" s="155"/>
      <c r="B349" s="18"/>
      <c r="C349" s="19"/>
      <c r="D349" s="20"/>
      <c r="E349" s="20"/>
      <c r="F349" s="20"/>
      <c r="G349" s="20"/>
      <c r="H349" s="20"/>
      <c r="I349" s="20"/>
      <c r="J349" s="20"/>
      <c r="K349" s="20"/>
      <c r="L349" s="20"/>
      <c r="M349" s="20"/>
      <c r="N349" s="20"/>
      <c r="O349" s="20"/>
    </row>
    <row r="350" spans="1:15" x14ac:dyDescent="0.3">
      <c r="A350" s="155"/>
      <c r="B350" s="18"/>
      <c r="C350" s="19"/>
      <c r="D350" s="20"/>
      <c r="E350" s="20"/>
      <c r="F350" s="20"/>
      <c r="G350" s="20"/>
      <c r="H350" s="20"/>
      <c r="I350" s="20"/>
      <c r="J350" s="20"/>
      <c r="K350" s="20"/>
      <c r="L350" s="20"/>
      <c r="M350" s="20"/>
      <c r="N350" s="20"/>
      <c r="O350" s="20"/>
    </row>
    <row r="351" spans="1:15" x14ac:dyDescent="0.3">
      <c r="A351" s="155"/>
      <c r="B351" s="18"/>
      <c r="C351" s="19"/>
      <c r="D351" s="20"/>
      <c r="E351" s="20"/>
      <c r="F351" s="20"/>
      <c r="G351" s="20"/>
      <c r="H351" s="20"/>
      <c r="I351" s="20"/>
      <c r="J351" s="20"/>
      <c r="K351" s="20"/>
      <c r="L351" s="20"/>
      <c r="M351" s="20"/>
      <c r="N351" s="20"/>
      <c r="O351" s="20"/>
    </row>
    <row r="352" spans="1:15" x14ac:dyDescent="0.3">
      <c r="A352" s="155"/>
      <c r="B352" s="18"/>
      <c r="C352" s="19"/>
      <c r="D352" s="20"/>
      <c r="E352" s="20"/>
      <c r="F352" s="20"/>
      <c r="G352" s="20"/>
      <c r="H352" s="20"/>
      <c r="I352" s="20"/>
      <c r="J352" s="20"/>
      <c r="K352" s="20"/>
      <c r="L352" s="20"/>
      <c r="M352" s="20"/>
      <c r="N352" s="20"/>
      <c r="O352" s="20"/>
    </row>
    <row r="353" spans="1:15" x14ac:dyDescent="0.3">
      <c r="A353" s="155"/>
      <c r="B353" s="18"/>
      <c r="C353" s="19"/>
      <c r="D353" s="20"/>
      <c r="E353" s="20"/>
      <c r="F353" s="20"/>
      <c r="G353" s="20"/>
      <c r="H353" s="20"/>
      <c r="I353" s="20"/>
      <c r="J353" s="20"/>
      <c r="K353" s="20"/>
      <c r="L353" s="20"/>
      <c r="M353" s="20"/>
      <c r="N353" s="20"/>
      <c r="O353" s="20"/>
    </row>
    <row r="354" spans="1:15" x14ac:dyDescent="0.3">
      <c r="A354" s="155"/>
      <c r="B354" s="18"/>
      <c r="C354" s="19"/>
      <c r="D354" s="20"/>
      <c r="E354" s="20"/>
      <c r="F354" s="20"/>
      <c r="G354" s="20"/>
      <c r="H354" s="20"/>
      <c r="I354" s="20"/>
      <c r="J354" s="20"/>
      <c r="K354" s="20"/>
      <c r="L354" s="20"/>
      <c r="M354" s="20"/>
      <c r="N354" s="20"/>
      <c r="O354" s="20"/>
    </row>
    <row r="355" spans="1:15" x14ac:dyDescent="0.3">
      <c r="A355" s="155"/>
      <c r="B355" s="18"/>
      <c r="C355" s="19"/>
      <c r="D355" s="20"/>
      <c r="E355" s="20"/>
      <c r="F355" s="20"/>
      <c r="G355" s="20"/>
      <c r="H355" s="20"/>
      <c r="I355" s="20"/>
      <c r="J355" s="20"/>
      <c r="K355" s="20"/>
      <c r="L355" s="20"/>
      <c r="M355" s="20"/>
      <c r="N355" s="20"/>
      <c r="O355" s="20"/>
    </row>
    <row r="356" spans="1:15" x14ac:dyDescent="0.3">
      <c r="A356" s="155"/>
      <c r="B356" s="18"/>
      <c r="C356" s="19"/>
      <c r="D356" s="20"/>
      <c r="E356" s="20"/>
      <c r="F356" s="20"/>
      <c r="G356" s="20"/>
      <c r="H356" s="20"/>
      <c r="I356" s="20"/>
      <c r="J356" s="20"/>
      <c r="K356" s="20"/>
      <c r="L356" s="20"/>
      <c r="M356" s="20"/>
      <c r="N356" s="20"/>
      <c r="O356" s="20"/>
    </row>
    <row r="357" spans="1:15" x14ac:dyDescent="0.3">
      <c r="A357" s="155"/>
      <c r="B357" s="18"/>
      <c r="C357" s="19"/>
      <c r="D357" s="20"/>
      <c r="E357" s="20"/>
      <c r="F357" s="20"/>
      <c r="G357" s="20"/>
      <c r="H357" s="20"/>
      <c r="I357" s="20"/>
      <c r="J357" s="20"/>
      <c r="K357" s="20"/>
      <c r="L357" s="20"/>
      <c r="M357" s="20"/>
      <c r="N357" s="20"/>
      <c r="O357" s="20"/>
    </row>
    <row r="358" spans="1:15" x14ac:dyDescent="0.3">
      <c r="A358" s="155"/>
      <c r="B358" s="18"/>
      <c r="C358" s="19"/>
      <c r="D358" s="20"/>
      <c r="E358" s="20"/>
      <c r="F358" s="20"/>
      <c r="G358" s="20"/>
      <c r="H358" s="20"/>
      <c r="I358" s="20"/>
      <c r="J358" s="20"/>
      <c r="K358" s="20"/>
      <c r="L358" s="20"/>
      <c r="M358" s="20"/>
      <c r="N358" s="20"/>
      <c r="O358" s="20"/>
    </row>
    <row r="359" spans="1:15" x14ac:dyDescent="0.3">
      <c r="A359" s="155"/>
      <c r="B359" s="18"/>
      <c r="C359" s="19"/>
      <c r="D359" s="20"/>
      <c r="E359" s="20"/>
      <c r="F359" s="20"/>
      <c r="G359" s="20"/>
      <c r="H359" s="20"/>
      <c r="I359" s="20"/>
      <c r="J359" s="20"/>
      <c r="K359" s="20"/>
      <c r="L359" s="20"/>
      <c r="M359" s="20"/>
      <c r="N359" s="20"/>
      <c r="O359" s="20"/>
    </row>
    <row r="360" spans="1:15" x14ac:dyDescent="0.3">
      <c r="A360" s="155"/>
      <c r="B360" s="18"/>
      <c r="C360" s="19"/>
      <c r="D360" s="20"/>
      <c r="E360" s="20"/>
      <c r="F360" s="20"/>
      <c r="G360" s="20"/>
      <c r="H360" s="20"/>
      <c r="I360" s="20"/>
      <c r="J360" s="20"/>
      <c r="K360" s="20"/>
      <c r="L360" s="20"/>
      <c r="M360" s="20"/>
      <c r="N360" s="20"/>
      <c r="O360" s="20"/>
    </row>
    <row r="361" spans="1:15" x14ac:dyDescent="0.3">
      <c r="A361" s="155"/>
      <c r="B361" s="18"/>
      <c r="C361" s="19"/>
      <c r="D361" s="20"/>
      <c r="E361" s="20"/>
      <c r="F361" s="20"/>
      <c r="G361" s="20"/>
      <c r="H361" s="20"/>
      <c r="I361" s="20"/>
      <c r="J361" s="20"/>
      <c r="K361" s="20"/>
      <c r="L361" s="20"/>
      <c r="M361" s="20"/>
      <c r="N361" s="20"/>
      <c r="O361" s="20"/>
    </row>
    <row r="362" spans="1:15" x14ac:dyDescent="0.3">
      <c r="A362" s="155"/>
      <c r="B362" s="18"/>
      <c r="C362" s="19"/>
      <c r="D362" s="20"/>
      <c r="E362" s="20"/>
      <c r="F362" s="20"/>
      <c r="G362" s="20"/>
      <c r="H362" s="20"/>
      <c r="I362" s="20"/>
      <c r="J362" s="20"/>
      <c r="K362" s="20"/>
      <c r="L362" s="20"/>
      <c r="M362" s="20"/>
      <c r="N362" s="20"/>
      <c r="O362" s="20"/>
    </row>
    <row r="363" spans="1:15" x14ac:dyDescent="0.3">
      <c r="A363" s="155"/>
      <c r="B363" s="18"/>
      <c r="C363" s="19"/>
      <c r="D363" s="20"/>
      <c r="E363" s="20"/>
      <c r="F363" s="20"/>
      <c r="G363" s="20"/>
      <c r="H363" s="20"/>
      <c r="I363" s="20"/>
      <c r="J363" s="20"/>
      <c r="K363" s="20"/>
      <c r="L363" s="20"/>
      <c r="M363" s="20"/>
      <c r="N363" s="20"/>
      <c r="O363" s="20"/>
    </row>
    <row r="364" spans="1:15" x14ac:dyDescent="0.3">
      <c r="A364" s="155"/>
      <c r="B364" s="18"/>
      <c r="C364" s="19"/>
      <c r="D364" s="20"/>
      <c r="E364" s="20"/>
      <c r="F364" s="20"/>
      <c r="G364" s="20"/>
      <c r="H364" s="20"/>
      <c r="I364" s="20"/>
      <c r="J364" s="20"/>
      <c r="K364" s="20"/>
      <c r="L364" s="20"/>
      <c r="M364" s="20"/>
      <c r="N364" s="20"/>
      <c r="O364" s="20"/>
    </row>
    <row r="365" spans="1:15" x14ac:dyDescent="0.3">
      <c r="A365" s="155"/>
      <c r="B365" s="18"/>
      <c r="C365" s="19"/>
      <c r="D365" s="20"/>
      <c r="E365" s="20"/>
      <c r="F365" s="20"/>
      <c r="G365" s="20"/>
      <c r="H365" s="20"/>
      <c r="I365" s="20"/>
      <c r="J365" s="20"/>
      <c r="K365" s="20"/>
      <c r="L365" s="20"/>
      <c r="M365" s="20"/>
      <c r="N365" s="20"/>
      <c r="O365" s="20"/>
    </row>
    <row r="366" spans="1:15" x14ac:dyDescent="0.3">
      <c r="A366" s="155"/>
      <c r="B366" s="18"/>
      <c r="C366" s="19"/>
      <c r="D366" s="20"/>
      <c r="E366" s="20"/>
      <c r="F366" s="20"/>
      <c r="G366" s="20"/>
      <c r="H366" s="20"/>
      <c r="I366" s="20"/>
      <c r="J366" s="20"/>
      <c r="K366" s="20"/>
      <c r="L366" s="20"/>
      <c r="M366" s="20"/>
      <c r="N366" s="20"/>
      <c r="O366" s="20"/>
    </row>
    <row r="367" spans="1:15" x14ac:dyDescent="0.3">
      <c r="A367" s="155"/>
      <c r="B367" s="18"/>
      <c r="C367" s="19"/>
      <c r="D367" s="20"/>
      <c r="E367" s="20"/>
      <c r="F367" s="20"/>
      <c r="G367" s="20"/>
      <c r="H367" s="20"/>
      <c r="I367" s="20"/>
      <c r="J367" s="20"/>
      <c r="K367" s="20"/>
      <c r="L367" s="20"/>
      <c r="M367" s="20"/>
      <c r="N367" s="20"/>
      <c r="O367" s="20"/>
    </row>
    <row r="368" spans="1:15" x14ac:dyDescent="0.3">
      <c r="A368" s="155"/>
      <c r="B368" s="18"/>
      <c r="C368" s="19"/>
      <c r="D368" s="20"/>
      <c r="E368" s="20"/>
      <c r="F368" s="20"/>
      <c r="G368" s="20"/>
      <c r="H368" s="20"/>
      <c r="I368" s="20"/>
      <c r="J368" s="20"/>
      <c r="K368" s="20"/>
      <c r="L368" s="20"/>
      <c r="M368" s="20"/>
      <c r="N368" s="20"/>
      <c r="O368" s="20"/>
    </row>
    <row r="369" spans="1:15" x14ac:dyDescent="0.3">
      <c r="A369" s="155"/>
      <c r="B369" s="18"/>
      <c r="C369" s="19"/>
      <c r="D369" s="20"/>
      <c r="E369" s="20"/>
      <c r="F369" s="20"/>
      <c r="G369" s="20"/>
      <c r="H369" s="20"/>
      <c r="I369" s="20"/>
      <c r="J369" s="20"/>
      <c r="K369" s="20"/>
      <c r="L369" s="20"/>
      <c r="M369" s="20"/>
      <c r="N369" s="20"/>
      <c r="O369" s="20"/>
    </row>
    <row r="370" spans="1:15" x14ac:dyDescent="0.3">
      <c r="A370" s="155"/>
      <c r="B370" s="18"/>
      <c r="C370" s="19"/>
      <c r="D370" s="20"/>
      <c r="E370" s="20"/>
      <c r="F370" s="20"/>
      <c r="G370" s="20"/>
      <c r="H370" s="20"/>
      <c r="I370" s="20"/>
      <c r="J370" s="20"/>
      <c r="K370" s="20"/>
      <c r="L370" s="20"/>
      <c r="M370" s="20"/>
      <c r="N370" s="20"/>
      <c r="O370" s="20"/>
    </row>
    <row r="371" spans="1:15" x14ac:dyDescent="0.3">
      <c r="A371" s="155"/>
      <c r="B371" s="18"/>
      <c r="C371" s="19"/>
      <c r="D371" s="20"/>
      <c r="E371" s="20"/>
      <c r="F371" s="20"/>
      <c r="G371" s="20"/>
      <c r="H371" s="20"/>
      <c r="I371" s="20"/>
      <c r="J371" s="20"/>
      <c r="K371" s="20"/>
      <c r="L371" s="20"/>
      <c r="M371" s="20"/>
      <c r="N371" s="20"/>
      <c r="O371" s="20"/>
    </row>
    <row r="372" spans="1:15" x14ac:dyDescent="0.3">
      <c r="A372" s="155"/>
      <c r="B372" s="18"/>
      <c r="C372" s="19"/>
      <c r="D372" s="20"/>
      <c r="E372" s="20"/>
      <c r="F372" s="20"/>
      <c r="G372" s="20"/>
      <c r="H372" s="20"/>
      <c r="I372" s="20"/>
      <c r="J372" s="20"/>
      <c r="K372" s="20"/>
      <c r="L372" s="20"/>
      <c r="M372" s="20"/>
      <c r="N372" s="20"/>
      <c r="O372" s="20"/>
    </row>
    <row r="373" spans="1:15" x14ac:dyDescent="0.3">
      <c r="A373" s="155"/>
      <c r="B373" s="18"/>
      <c r="C373" s="19"/>
      <c r="D373" s="20"/>
      <c r="E373" s="20"/>
      <c r="F373" s="20"/>
      <c r="G373" s="20"/>
      <c r="H373" s="20"/>
      <c r="I373" s="20"/>
      <c r="J373" s="20"/>
      <c r="K373" s="20"/>
      <c r="L373" s="20"/>
      <c r="M373" s="20"/>
      <c r="N373" s="20"/>
      <c r="O373" s="20"/>
    </row>
  </sheetData>
  <autoFilter ref="B2:O373" xr:uid="{D68E069B-CF59-4497-A662-696AA6B25863}"/>
  <mergeCells count="1">
    <mergeCell ref="B1:O1"/>
  </mergeCells>
  <phoneticPr fontId="18"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283A6-7C1E-4768-95F7-37BDC9B7BF28}">
  <dimension ref="A1:R96"/>
  <sheetViews>
    <sheetView topLeftCell="A84" zoomScale="70" zoomScaleNormal="70" workbookViewId="0">
      <selection activeCell="A84" sqref="A84"/>
    </sheetView>
  </sheetViews>
  <sheetFormatPr baseColWidth="10" defaultColWidth="11.42578125" defaultRowHeight="15" x14ac:dyDescent="0.25"/>
  <cols>
    <col min="1" max="1" width="13.140625" customWidth="1"/>
    <col min="2" max="2" width="26.7109375" customWidth="1"/>
    <col min="3" max="3" width="22.7109375" customWidth="1"/>
    <col min="5" max="5" width="16.85546875" customWidth="1"/>
    <col min="6" max="6" width="29.28515625" customWidth="1"/>
    <col min="7" max="7" width="33.5703125" customWidth="1"/>
    <col min="14" max="14" width="12.7109375" customWidth="1"/>
  </cols>
  <sheetData>
    <row r="1" spans="1:18" s="68" customFormat="1" ht="43.5" customHeight="1" x14ac:dyDescent="0.25">
      <c r="A1" s="184" t="s">
        <v>35</v>
      </c>
      <c r="B1" s="184"/>
      <c r="C1" s="184"/>
      <c r="E1" s="184" t="s">
        <v>36</v>
      </c>
      <c r="F1" s="184"/>
      <c r="G1" s="184"/>
      <c r="J1" s="185" t="s">
        <v>37</v>
      </c>
      <c r="K1" s="185"/>
      <c r="L1" s="185"/>
      <c r="M1" s="185"/>
      <c r="N1" s="185"/>
      <c r="O1" s="185"/>
      <c r="P1" s="185"/>
    </row>
    <row r="2" spans="1:18" x14ac:dyDescent="0.25">
      <c r="A2" s="69"/>
      <c r="B2" s="70" t="s">
        <v>38</v>
      </c>
      <c r="C2" s="70" t="s">
        <v>35</v>
      </c>
      <c r="E2" s="69" t="s">
        <v>39</v>
      </c>
      <c r="F2" s="70" t="s">
        <v>40</v>
      </c>
      <c r="G2" s="70" t="s">
        <v>41</v>
      </c>
      <c r="L2" s="186"/>
      <c r="M2" s="186"/>
      <c r="N2" s="186"/>
      <c r="O2" s="186"/>
      <c r="P2" s="186"/>
    </row>
    <row r="3" spans="1:18" ht="60" x14ac:dyDescent="0.25">
      <c r="A3" s="71" t="s">
        <v>42</v>
      </c>
      <c r="B3" s="72" t="s">
        <v>43</v>
      </c>
      <c r="C3" s="73">
        <v>0.2</v>
      </c>
      <c r="E3" s="71" t="s">
        <v>44</v>
      </c>
      <c r="F3" s="72" t="s">
        <v>45</v>
      </c>
      <c r="G3" s="74" t="s">
        <v>46</v>
      </c>
      <c r="I3" s="187" t="s">
        <v>35</v>
      </c>
      <c r="J3" s="75" t="s">
        <v>47</v>
      </c>
      <c r="K3" s="76"/>
      <c r="L3" s="77" t="s">
        <v>48</v>
      </c>
      <c r="M3" s="77" t="s">
        <v>48</v>
      </c>
      <c r="N3" s="77" t="s">
        <v>48</v>
      </c>
      <c r="O3" s="77" t="s">
        <v>48</v>
      </c>
      <c r="P3" s="78" t="s">
        <v>49</v>
      </c>
      <c r="R3" s="79" t="s">
        <v>50</v>
      </c>
    </row>
    <row r="4" spans="1:18" ht="87.4" customHeight="1" x14ac:dyDescent="0.25">
      <c r="A4" s="80" t="s">
        <v>51</v>
      </c>
      <c r="B4" s="72" t="s">
        <v>52</v>
      </c>
      <c r="C4" s="73">
        <v>0.4</v>
      </c>
      <c r="E4" s="80" t="s">
        <v>53</v>
      </c>
      <c r="F4" s="72" t="s">
        <v>54</v>
      </c>
      <c r="G4" s="74" t="s">
        <v>55</v>
      </c>
      <c r="I4" s="187"/>
      <c r="J4" s="81" t="s">
        <v>56</v>
      </c>
      <c r="K4" s="69"/>
      <c r="L4" s="82" t="s">
        <v>57</v>
      </c>
      <c r="M4" s="82" t="s">
        <v>57</v>
      </c>
      <c r="N4" s="77" t="s">
        <v>48</v>
      </c>
      <c r="O4" s="77" t="s">
        <v>48</v>
      </c>
      <c r="P4" s="78" t="s">
        <v>49</v>
      </c>
      <c r="R4" s="83" t="s">
        <v>28</v>
      </c>
    </row>
    <row r="5" spans="1:18" ht="61.9" customHeight="1" x14ac:dyDescent="0.25">
      <c r="A5" s="84" t="s">
        <v>58</v>
      </c>
      <c r="B5" s="72" t="s">
        <v>59</v>
      </c>
      <c r="C5" s="73">
        <v>0.6</v>
      </c>
      <c r="E5" s="84" t="s">
        <v>60</v>
      </c>
      <c r="F5" s="72" t="s">
        <v>61</v>
      </c>
      <c r="G5" s="74" t="s">
        <v>62</v>
      </c>
      <c r="I5" s="187"/>
      <c r="J5" s="84" t="s">
        <v>63</v>
      </c>
      <c r="K5" s="69"/>
      <c r="L5" s="82" t="s">
        <v>57</v>
      </c>
      <c r="M5" s="82" t="s">
        <v>57</v>
      </c>
      <c r="N5" s="82" t="s">
        <v>57</v>
      </c>
      <c r="O5" s="77" t="s">
        <v>48</v>
      </c>
      <c r="P5" s="78" t="s">
        <v>49</v>
      </c>
      <c r="R5" s="85" t="s">
        <v>60</v>
      </c>
    </row>
    <row r="6" spans="1:18" ht="75" x14ac:dyDescent="0.25">
      <c r="A6" s="81" t="s">
        <v>64</v>
      </c>
      <c r="B6" s="72" t="s">
        <v>65</v>
      </c>
      <c r="C6" s="73">
        <v>0.8</v>
      </c>
      <c r="E6" s="81" t="s">
        <v>66</v>
      </c>
      <c r="F6" s="72" t="s">
        <v>67</v>
      </c>
      <c r="G6" s="74" t="s">
        <v>68</v>
      </c>
      <c r="I6" s="187"/>
      <c r="J6" s="80" t="s">
        <v>69</v>
      </c>
      <c r="K6" s="69"/>
      <c r="L6" s="86" t="s">
        <v>70</v>
      </c>
      <c r="M6" s="82" t="s">
        <v>57</v>
      </c>
      <c r="N6" s="82" t="s">
        <v>57</v>
      </c>
      <c r="O6" s="77" t="s">
        <v>48</v>
      </c>
      <c r="P6" s="78" t="s">
        <v>49</v>
      </c>
      <c r="R6" s="87" t="s">
        <v>71</v>
      </c>
    </row>
    <row r="7" spans="1:18" ht="55.5" customHeight="1" x14ac:dyDescent="0.25">
      <c r="A7" s="88" t="s">
        <v>72</v>
      </c>
      <c r="B7" s="72" t="s">
        <v>73</v>
      </c>
      <c r="C7" s="73">
        <v>1</v>
      </c>
      <c r="E7" s="88" t="s">
        <v>74</v>
      </c>
      <c r="F7" s="72" t="s">
        <v>75</v>
      </c>
      <c r="G7" s="74" t="s">
        <v>76</v>
      </c>
      <c r="I7" s="187"/>
      <c r="J7" s="89" t="s">
        <v>77</v>
      </c>
      <c r="K7" s="69"/>
      <c r="L7" s="86" t="s">
        <v>70</v>
      </c>
      <c r="M7" s="86" t="s">
        <v>70</v>
      </c>
      <c r="N7" s="82" t="s">
        <v>57</v>
      </c>
      <c r="O7" s="77" t="s">
        <v>48</v>
      </c>
      <c r="P7" s="78" t="s">
        <v>49</v>
      </c>
    </row>
    <row r="8" spans="1:18" ht="36" customHeight="1" x14ac:dyDescent="0.25">
      <c r="A8" s="90"/>
      <c r="B8" s="91"/>
      <c r="C8" s="92"/>
      <c r="E8" s="90"/>
      <c r="F8" s="91"/>
      <c r="G8" s="93"/>
      <c r="I8" s="67"/>
      <c r="J8" s="94"/>
      <c r="K8" s="94"/>
      <c r="L8" s="181"/>
      <c r="M8" s="182"/>
      <c r="N8" s="182"/>
      <c r="O8" s="182"/>
      <c r="P8" s="183"/>
    </row>
    <row r="9" spans="1:18" ht="30" x14ac:dyDescent="0.25">
      <c r="L9" s="71" t="s">
        <v>78</v>
      </c>
      <c r="M9" s="80" t="s">
        <v>79</v>
      </c>
      <c r="N9" s="84" t="s">
        <v>80</v>
      </c>
      <c r="O9" s="81" t="s">
        <v>27</v>
      </c>
      <c r="P9" s="75" t="s">
        <v>81</v>
      </c>
    </row>
    <row r="10" spans="1:18" ht="14.65" customHeight="1" x14ac:dyDescent="0.25">
      <c r="D10" s="58" t="s">
        <v>82</v>
      </c>
      <c r="L10" s="175" t="s">
        <v>36</v>
      </c>
      <c r="M10" s="175"/>
      <c r="N10" s="175"/>
      <c r="O10" s="175"/>
      <c r="P10" s="175"/>
    </row>
    <row r="11" spans="1:18" ht="14.65" customHeight="1" x14ac:dyDescent="0.25">
      <c r="A11" s="176" t="s">
        <v>83</v>
      </c>
      <c r="B11" s="177" t="s">
        <v>84</v>
      </c>
      <c r="C11" s="95" t="s">
        <v>85</v>
      </c>
      <c r="D11" s="96">
        <v>0.25</v>
      </c>
      <c r="L11" s="175"/>
      <c r="M11" s="175"/>
      <c r="N11" s="175"/>
      <c r="O11" s="175"/>
      <c r="P11" s="175"/>
    </row>
    <row r="12" spans="1:18" x14ac:dyDescent="0.25">
      <c r="A12" s="176"/>
      <c r="B12" s="178"/>
      <c r="C12" s="95" t="s">
        <v>86</v>
      </c>
      <c r="D12" s="96">
        <v>0.15</v>
      </c>
    </row>
    <row r="13" spans="1:18" x14ac:dyDescent="0.25">
      <c r="A13" s="176"/>
      <c r="B13" s="178"/>
      <c r="C13" s="95" t="s">
        <v>87</v>
      </c>
      <c r="D13" s="96">
        <v>0.1</v>
      </c>
    </row>
    <row r="14" spans="1:18" x14ac:dyDescent="0.25">
      <c r="A14" s="176"/>
      <c r="B14" s="174" t="s">
        <v>88</v>
      </c>
      <c r="C14" s="95" t="s">
        <v>89</v>
      </c>
      <c r="D14" s="96">
        <v>0.25</v>
      </c>
    </row>
    <row r="15" spans="1:18" x14ac:dyDescent="0.25">
      <c r="A15" s="176"/>
      <c r="B15" s="174"/>
      <c r="C15" s="95" t="s">
        <v>90</v>
      </c>
      <c r="D15" s="96">
        <v>0.1</v>
      </c>
    </row>
    <row r="17" spans="1:2" x14ac:dyDescent="0.25">
      <c r="A17" s="176" t="s">
        <v>91</v>
      </c>
      <c r="B17" s="95" t="s">
        <v>31</v>
      </c>
    </row>
    <row r="18" spans="1:2" x14ac:dyDescent="0.25">
      <c r="A18" s="176"/>
      <c r="B18" s="95" t="s">
        <v>92</v>
      </c>
    </row>
    <row r="19" spans="1:2" x14ac:dyDescent="0.25">
      <c r="A19" s="176"/>
      <c r="B19" s="95" t="s">
        <v>93</v>
      </c>
    </row>
    <row r="20" spans="1:2" x14ac:dyDescent="0.25">
      <c r="A20" s="176"/>
      <c r="B20" s="95" t="s">
        <v>94</v>
      </c>
    </row>
    <row r="22" spans="1:2" ht="15.75" thickBot="1" x14ac:dyDescent="0.3"/>
    <row r="23" spans="1:2" ht="15.75" thickBot="1" x14ac:dyDescent="0.3">
      <c r="A23" s="97" t="s">
        <v>95</v>
      </c>
    </row>
    <row r="24" spans="1:2" x14ac:dyDescent="0.25">
      <c r="A24" s="98" t="s">
        <v>32</v>
      </c>
    </row>
    <row r="25" spans="1:2" x14ac:dyDescent="0.25">
      <c r="A25" s="98" t="s">
        <v>96</v>
      </c>
    </row>
    <row r="26" spans="1:2" x14ac:dyDescent="0.25">
      <c r="A26" s="98" t="s">
        <v>97</v>
      </c>
    </row>
    <row r="27" spans="1:2" x14ac:dyDescent="0.25">
      <c r="A27" s="98" t="s">
        <v>98</v>
      </c>
    </row>
    <row r="28" spans="1:2" x14ac:dyDescent="0.25">
      <c r="A28" s="98" t="s">
        <v>99</v>
      </c>
    </row>
    <row r="29" spans="1:2" x14ac:dyDescent="0.25">
      <c r="A29" s="98" t="s">
        <v>100</v>
      </c>
    </row>
    <row r="30" spans="1:2" x14ac:dyDescent="0.25">
      <c r="A30" s="98" t="s">
        <v>101</v>
      </c>
    </row>
    <row r="31" spans="1:2" x14ac:dyDescent="0.25">
      <c r="A31" s="99" t="s">
        <v>102</v>
      </c>
    </row>
    <row r="32" spans="1:2" ht="15.75" thickBot="1" x14ac:dyDescent="0.3">
      <c r="A32" s="100" t="s">
        <v>33</v>
      </c>
    </row>
    <row r="33" spans="1:4" ht="15.75" thickBot="1" x14ac:dyDescent="0.3"/>
    <row r="34" spans="1:4" x14ac:dyDescent="0.25">
      <c r="A34" s="101" t="s">
        <v>103</v>
      </c>
      <c r="B34" s="179" t="s">
        <v>104</v>
      </c>
      <c r="C34" s="180"/>
      <c r="D34" s="102" t="s">
        <v>105</v>
      </c>
    </row>
    <row r="35" spans="1:4" ht="60" x14ac:dyDescent="0.25">
      <c r="A35" s="103" t="s">
        <v>77</v>
      </c>
      <c r="B35" s="104">
        <v>2</v>
      </c>
      <c r="C35" s="105" t="s">
        <v>106</v>
      </c>
      <c r="D35" s="106">
        <v>0.2</v>
      </c>
    </row>
    <row r="36" spans="1:4" ht="60" x14ac:dyDescent="0.25">
      <c r="A36" s="107" t="s">
        <v>69</v>
      </c>
      <c r="B36" s="108" t="s">
        <v>26</v>
      </c>
      <c r="C36" s="105" t="s">
        <v>107</v>
      </c>
      <c r="D36" s="106">
        <v>0.4</v>
      </c>
    </row>
    <row r="37" spans="1:4" ht="60" x14ac:dyDescent="0.25">
      <c r="A37" s="109" t="s">
        <v>63</v>
      </c>
      <c r="B37" s="110" t="s">
        <v>108</v>
      </c>
      <c r="C37" s="105" t="s">
        <v>109</v>
      </c>
      <c r="D37" s="106">
        <v>0.6</v>
      </c>
    </row>
    <row r="38" spans="1:4" ht="75" x14ac:dyDescent="0.25">
      <c r="A38" s="111" t="s">
        <v>56</v>
      </c>
      <c r="B38" s="112" t="s">
        <v>110</v>
      </c>
      <c r="C38" s="105" t="s">
        <v>111</v>
      </c>
      <c r="D38" s="106">
        <v>0.8</v>
      </c>
    </row>
    <row r="39" spans="1:4" ht="60" x14ac:dyDescent="0.25">
      <c r="A39" s="113" t="s">
        <v>112</v>
      </c>
      <c r="B39" s="114" t="s">
        <v>113</v>
      </c>
      <c r="C39" s="115" t="s">
        <v>114</v>
      </c>
      <c r="D39" s="116">
        <v>1</v>
      </c>
    </row>
    <row r="40" spans="1:4" x14ac:dyDescent="0.25">
      <c r="A40" s="174" t="s">
        <v>115</v>
      </c>
      <c r="B40" s="117" t="s">
        <v>116</v>
      </c>
      <c r="C40" s="4" t="s">
        <v>117</v>
      </c>
      <c r="D40" s="4"/>
    </row>
    <row r="41" spans="1:4" x14ac:dyDescent="0.25">
      <c r="A41" s="174"/>
      <c r="B41" s="118" t="s">
        <v>118</v>
      </c>
      <c r="C41" s="4" t="s">
        <v>119</v>
      </c>
      <c r="D41" s="4"/>
    </row>
    <row r="42" spans="1:4" x14ac:dyDescent="0.25">
      <c r="A42" s="174"/>
      <c r="B42" s="119" t="s">
        <v>120</v>
      </c>
      <c r="C42" s="105" t="s">
        <v>121</v>
      </c>
      <c r="D42" s="4"/>
    </row>
    <row r="43" spans="1:4" x14ac:dyDescent="0.25">
      <c r="A43" s="174"/>
      <c r="B43" s="120" t="s">
        <v>122</v>
      </c>
      <c r="C43" s="105" t="s">
        <v>123</v>
      </c>
      <c r="D43" s="4"/>
    </row>
    <row r="44" spans="1:4" x14ac:dyDescent="0.25">
      <c r="A44" s="174"/>
      <c r="B44" s="121" t="s">
        <v>124</v>
      </c>
      <c r="C44" s="105" t="s">
        <v>125</v>
      </c>
      <c r="D44" s="4"/>
    </row>
    <row r="49" spans="1:1" x14ac:dyDescent="0.25">
      <c r="A49" s="122" t="s">
        <v>126</v>
      </c>
    </row>
    <row r="50" spans="1:1" x14ac:dyDescent="0.25">
      <c r="A50" s="103" t="s">
        <v>78</v>
      </c>
    </row>
    <row r="51" spans="1:1" x14ac:dyDescent="0.25">
      <c r="A51" s="107" t="s">
        <v>127</v>
      </c>
    </row>
    <row r="52" spans="1:1" x14ac:dyDescent="0.25">
      <c r="A52" s="109" t="s">
        <v>80</v>
      </c>
    </row>
    <row r="53" spans="1:1" x14ac:dyDescent="0.25">
      <c r="A53" s="111" t="s">
        <v>27</v>
      </c>
    </row>
    <row r="54" spans="1:1" ht="15.75" thickBot="1" x14ac:dyDescent="0.3">
      <c r="A54" s="123" t="s">
        <v>128</v>
      </c>
    </row>
    <row r="66" spans="1:1" x14ac:dyDescent="0.25">
      <c r="A66" s="122" t="s">
        <v>129</v>
      </c>
    </row>
    <row r="67" spans="1:1" x14ac:dyDescent="0.25">
      <c r="A67" s="103" t="s">
        <v>71</v>
      </c>
    </row>
    <row r="68" spans="1:1" x14ac:dyDescent="0.25">
      <c r="A68" s="109" t="s">
        <v>130</v>
      </c>
    </row>
    <row r="69" spans="1:1" x14ac:dyDescent="0.25">
      <c r="A69" s="111" t="s">
        <v>28</v>
      </c>
    </row>
    <row r="70" spans="1:1" ht="15.75" thickBot="1" x14ac:dyDescent="0.3">
      <c r="A70" s="123" t="s">
        <v>50</v>
      </c>
    </row>
    <row r="84" spans="1:1" x14ac:dyDescent="0.25">
      <c r="A84" s="124" t="s">
        <v>131</v>
      </c>
    </row>
    <row r="85" spans="1:1" x14ac:dyDescent="0.25">
      <c r="A85" t="s">
        <v>132</v>
      </c>
    </row>
    <row r="86" spans="1:1" x14ac:dyDescent="0.25">
      <c r="A86" t="s">
        <v>133</v>
      </c>
    </row>
    <row r="87" spans="1:1" x14ac:dyDescent="0.25">
      <c r="A87" t="s">
        <v>29</v>
      </c>
    </row>
    <row r="89" spans="1:1" x14ac:dyDescent="0.25">
      <c r="A89" s="124" t="s">
        <v>134</v>
      </c>
    </row>
    <row r="90" spans="1:1" x14ac:dyDescent="0.25">
      <c r="A90" t="s">
        <v>135</v>
      </c>
    </row>
    <row r="91" spans="1:1" x14ac:dyDescent="0.25">
      <c r="A91" t="s">
        <v>30</v>
      </c>
    </row>
    <row r="93" spans="1:1" x14ac:dyDescent="0.25">
      <c r="A93" s="124" t="s">
        <v>136</v>
      </c>
    </row>
    <row r="94" spans="1:1" x14ac:dyDescent="0.25">
      <c r="A94" t="s">
        <v>31</v>
      </c>
    </row>
    <row r="95" spans="1:1" x14ac:dyDescent="0.25">
      <c r="A95" t="s">
        <v>34</v>
      </c>
    </row>
    <row r="96" spans="1:1" x14ac:dyDescent="0.25">
      <c r="A96" t="s">
        <v>93</v>
      </c>
    </row>
  </sheetData>
  <mergeCells count="13">
    <mergeCell ref="L8:P8"/>
    <mergeCell ref="A1:C1"/>
    <mergeCell ref="E1:G1"/>
    <mergeCell ref="J1:P1"/>
    <mergeCell ref="L2:P2"/>
    <mergeCell ref="I3:I7"/>
    <mergeCell ref="A40:A44"/>
    <mergeCell ref="L10:P11"/>
    <mergeCell ref="A11:A15"/>
    <mergeCell ref="B11:B13"/>
    <mergeCell ref="B14:B15"/>
    <mergeCell ref="A17:A20"/>
    <mergeCell ref="B34:C34"/>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687BC-512A-47DA-A713-AD0A51601D48}">
  <dimension ref="A1:E67"/>
  <sheetViews>
    <sheetView workbookViewId="0">
      <pane ySplit="1" topLeftCell="A2" activePane="bottomLeft" state="frozen"/>
      <selection activeCell="B11" sqref="B11"/>
      <selection pane="bottomLeft" activeCell="E30" sqref="E30"/>
    </sheetView>
  </sheetViews>
  <sheetFormatPr baseColWidth="10" defaultColWidth="11.42578125" defaultRowHeight="16.5" x14ac:dyDescent="0.3"/>
  <cols>
    <col min="1" max="1" width="13.140625" style="150" customWidth="1"/>
    <col min="2" max="2" width="24.85546875" style="1" customWidth="1"/>
    <col min="3" max="3" width="29.140625" style="1" customWidth="1"/>
    <col min="4" max="4" width="42.140625" style="1" customWidth="1"/>
    <col min="5" max="5" width="55" style="2" customWidth="1"/>
    <col min="6" max="16384" width="11.42578125" style="1"/>
  </cols>
  <sheetData>
    <row r="1" spans="1:5" s="152" customFormat="1" ht="30" customHeight="1" x14ac:dyDescent="0.25">
      <c r="A1" s="151" t="s">
        <v>142</v>
      </c>
      <c r="B1" s="151" t="s">
        <v>0</v>
      </c>
      <c r="C1" s="151" t="s">
        <v>1</v>
      </c>
      <c r="D1" s="151" t="s">
        <v>143</v>
      </c>
      <c r="E1" s="151" t="s">
        <v>144</v>
      </c>
    </row>
    <row r="2" spans="1:5" x14ac:dyDescent="0.3">
      <c r="A2" s="150" t="s">
        <v>145</v>
      </c>
      <c r="B2" s="1" t="s">
        <v>146</v>
      </c>
      <c r="C2" s="2" t="s">
        <v>147</v>
      </c>
      <c r="D2" s="3" t="s">
        <v>148</v>
      </c>
      <c r="E2" s="2" t="s">
        <v>149</v>
      </c>
    </row>
    <row r="3" spans="1:5" x14ac:dyDescent="0.3">
      <c r="A3" s="150" t="s">
        <v>150</v>
      </c>
      <c r="B3" s="1" t="s">
        <v>151</v>
      </c>
      <c r="C3" s="2" t="s">
        <v>6</v>
      </c>
      <c r="D3" s="3" t="s">
        <v>152</v>
      </c>
      <c r="E3" s="2" t="s">
        <v>153</v>
      </c>
    </row>
    <row r="4" spans="1:5" x14ac:dyDescent="0.3">
      <c r="A4" s="150" t="s">
        <v>154</v>
      </c>
      <c r="B4" s="1" t="s">
        <v>155</v>
      </c>
      <c r="C4" s="2" t="s">
        <v>156</v>
      </c>
      <c r="D4" s="3" t="s">
        <v>152</v>
      </c>
      <c r="E4" s="2" t="s">
        <v>157</v>
      </c>
    </row>
    <row r="5" spans="1:5" x14ac:dyDescent="0.3">
      <c r="A5" s="150" t="s">
        <v>158</v>
      </c>
      <c r="B5" s="1" t="s">
        <v>5</v>
      </c>
      <c r="C5" s="2" t="s">
        <v>159</v>
      </c>
      <c r="D5" s="3" t="s">
        <v>160</v>
      </c>
      <c r="E5" s="2" t="s">
        <v>161</v>
      </c>
    </row>
    <row r="6" spans="1:5" x14ac:dyDescent="0.3">
      <c r="A6" s="150" t="s">
        <v>162</v>
      </c>
      <c r="B6" s="1" t="s">
        <v>163</v>
      </c>
      <c r="D6" s="3" t="s">
        <v>21</v>
      </c>
      <c r="E6" s="2" t="s">
        <v>164</v>
      </c>
    </row>
    <row r="7" spans="1:5" x14ac:dyDescent="0.3">
      <c r="A7" s="150" t="s">
        <v>165</v>
      </c>
      <c r="B7" s="1" t="s">
        <v>166</v>
      </c>
      <c r="D7" s="3" t="s">
        <v>18</v>
      </c>
      <c r="E7" s="2" t="s">
        <v>167</v>
      </c>
    </row>
    <row r="8" spans="1:5" x14ac:dyDescent="0.3">
      <c r="A8" s="150" t="s">
        <v>168</v>
      </c>
      <c r="B8" s="1" t="s">
        <v>169</v>
      </c>
      <c r="D8" s="3" t="s">
        <v>170</v>
      </c>
      <c r="E8" s="2" t="s">
        <v>22</v>
      </c>
    </row>
    <row r="9" spans="1:5" x14ac:dyDescent="0.3">
      <c r="A9" s="150" t="s">
        <v>171</v>
      </c>
      <c r="B9" s="1" t="s">
        <v>172</v>
      </c>
      <c r="D9" s="3" t="s">
        <v>15</v>
      </c>
      <c r="E9" s="2" t="s">
        <v>173</v>
      </c>
    </row>
    <row r="10" spans="1:5" x14ac:dyDescent="0.3">
      <c r="A10" s="150" t="s">
        <v>174</v>
      </c>
      <c r="B10" s="1" t="s">
        <v>175</v>
      </c>
      <c r="D10" s="3" t="s">
        <v>15</v>
      </c>
      <c r="E10" s="2" t="s">
        <v>16</v>
      </c>
    </row>
    <row r="11" spans="1:5" x14ac:dyDescent="0.3">
      <c r="A11" s="150" t="s">
        <v>176</v>
      </c>
      <c r="B11" s="1" t="s">
        <v>177</v>
      </c>
      <c r="D11" s="3" t="s">
        <v>15</v>
      </c>
      <c r="E11" s="2" t="s">
        <v>178</v>
      </c>
    </row>
    <row r="12" spans="1:5" x14ac:dyDescent="0.3">
      <c r="A12" s="150" t="s">
        <v>179</v>
      </c>
      <c r="B12" s="1" t="s">
        <v>179</v>
      </c>
      <c r="D12" s="3" t="s">
        <v>180</v>
      </c>
      <c r="E12" s="2" t="s">
        <v>12</v>
      </c>
    </row>
    <row r="13" spans="1:5" x14ac:dyDescent="0.3">
      <c r="A13" s="150" t="s">
        <v>181</v>
      </c>
      <c r="B13" s="1" t="s">
        <v>182</v>
      </c>
      <c r="D13" s="3" t="s">
        <v>11</v>
      </c>
      <c r="E13" s="2" t="s">
        <v>183</v>
      </c>
    </row>
    <row r="14" spans="1:5" x14ac:dyDescent="0.3">
      <c r="A14" s="150" t="s">
        <v>184</v>
      </c>
      <c r="B14" s="1" t="s">
        <v>185</v>
      </c>
      <c r="D14" s="3" t="s">
        <v>186</v>
      </c>
      <c r="E14" s="2" t="s">
        <v>187</v>
      </c>
    </row>
    <row r="15" spans="1:5" x14ac:dyDescent="0.3">
      <c r="A15" s="150" t="s">
        <v>188</v>
      </c>
      <c r="B15" s="1" t="s">
        <v>189</v>
      </c>
      <c r="D15" s="3" t="s">
        <v>172</v>
      </c>
      <c r="E15" s="2" t="s">
        <v>19</v>
      </c>
    </row>
    <row r="16" spans="1:5" x14ac:dyDescent="0.3">
      <c r="A16" s="150" t="s">
        <v>190</v>
      </c>
      <c r="B16" s="1" t="s">
        <v>191</v>
      </c>
      <c r="D16" s="3" t="s">
        <v>192</v>
      </c>
      <c r="E16" s="2" t="s">
        <v>24</v>
      </c>
    </row>
    <row r="17" spans="4:5" x14ac:dyDescent="0.3">
      <c r="D17" s="3" t="s">
        <v>192</v>
      </c>
      <c r="E17" s="2" t="s">
        <v>193</v>
      </c>
    </row>
    <row r="18" spans="4:5" x14ac:dyDescent="0.3">
      <c r="D18" s="3" t="s">
        <v>192</v>
      </c>
      <c r="E18" s="2" t="s">
        <v>194</v>
      </c>
    </row>
    <row r="19" spans="4:5" x14ac:dyDescent="0.3">
      <c r="D19" s="3" t="s">
        <v>195</v>
      </c>
      <c r="E19" s="2" t="s">
        <v>196</v>
      </c>
    </row>
    <row r="20" spans="4:5" x14ac:dyDescent="0.3">
      <c r="D20" s="3" t="s">
        <v>197</v>
      </c>
      <c r="E20" s="2" t="s">
        <v>198</v>
      </c>
    </row>
    <row r="21" spans="4:5" x14ac:dyDescent="0.3">
      <c r="D21" s="3" t="s">
        <v>7</v>
      </c>
      <c r="E21" s="2" t="s">
        <v>199</v>
      </c>
    </row>
    <row r="22" spans="4:5" x14ac:dyDescent="0.3">
      <c r="D22" s="3" t="s">
        <v>7</v>
      </c>
      <c r="E22" s="2" t="s">
        <v>200</v>
      </c>
    </row>
    <row r="23" spans="4:5" x14ac:dyDescent="0.3">
      <c r="D23" s="3" t="s">
        <v>201</v>
      </c>
      <c r="E23" s="2" t="s">
        <v>202</v>
      </c>
    </row>
    <row r="24" spans="4:5" x14ac:dyDescent="0.3">
      <c r="E24" s="2" t="s">
        <v>203</v>
      </c>
    </row>
    <row r="25" spans="4:5" x14ac:dyDescent="0.3">
      <c r="E25" s="153" t="s">
        <v>204</v>
      </c>
    </row>
    <row r="26" spans="4:5" x14ac:dyDescent="0.3">
      <c r="E26" s="2" t="s">
        <v>205</v>
      </c>
    </row>
    <row r="27" spans="4:5" x14ac:dyDescent="0.3">
      <c r="E27" s="2" t="s">
        <v>206</v>
      </c>
    </row>
    <row r="28" spans="4:5" x14ac:dyDescent="0.3">
      <c r="E28" s="2" t="s">
        <v>207</v>
      </c>
    </row>
    <row r="29" spans="4:5" x14ac:dyDescent="0.3">
      <c r="E29" s="2" t="s">
        <v>208</v>
      </c>
    </row>
    <row r="30" spans="4:5" x14ac:dyDescent="0.3">
      <c r="E30" s="2" t="s">
        <v>209</v>
      </c>
    </row>
    <row r="31" spans="4:5" x14ac:dyDescent="0.3">
      <c r="E31" s="2" t="s">
        <v>210</v>
      </c>
    </row>
    <row r="32" spans="4:5" x14ac:dyDescent="0.3">
      <c r="E32" s="2" t="s">
        <v>211</v>
      </c>
    </row>
    <row r="33" spans="5:5" x14ac:dyDescent="0.3">
      <c r="E33" s="2" t="s">
        <v>212</v>
      </c>
    </row>
    <row r="34" spans="5:5" x14ac:dyDescent="0.3">
      <c r="E34" s="2" t="s">
        <v>213</v>
      </c>
    </row>
    <row r="35" spans="5:5" x14ac:dyDescent="0.3">
      <c r="E35" s="2" t="s">
        <v>214</v>
      </c>
    </row>
    <row r="36" spans="5:5" x14ac:dyDescent="0.3">
      <c r="E36" s="2" t="s">
        <v>215</v>
      </c>
    </row>
    <row r="37" spans="5:5" x14ac:dyDescent="0.3">
      <c r="E37" s="2" t="s">
        <v>216</v>
      </c>
    </row>
    <row r="38" spans="5:5" x14ac:dyDescent="0.3">
      <c r="E38" s="2" t="s">
        <v>217</v>
      </c>
    </row>
    <row r="39" spans="5:5" x14ac:dyDescent="0.3">
      <c r="E39" s="2" t="s">
        <v>180</v>
      </c>
    </row>
    <row r="40" spans="5:5" x14ac:dyDescent="0.3">
      <c r="E40" s="2" t="s">
        <v>218</v>
      </c>
    </row>
    <row r="41" spans="5:5" x14ac:dyDescent="0.3">
      <c r="E41" s="2" t="s">
        <v>219</v>
      </c>
    </row>
    <row r="42" spans="5:5" x14ac:dyDescent="0.3">
      <c r="E42" s="2" t="s">
        <v>8</v>
      </c>
    </row>
    <row r="43" spans="5:5" x14ac:dyDescent="0.3">
      <c r="E43" s="2" t="s">
        <v>220</v>
      </c>
    </row>
    <row r="44" spans="5:5" x14ac:dyDescent="0.3">
      <c r="E44" s="2" t="s">
        <v>221</v>
      </c>
    </row>
    <row r="45" spans="5:5" x14ac:dyDescent="0.3">
      <c r="E45" s="2" t="s">
        <v>222</v>
      </c>
    </row>
    <row r="46" spans="5:5" x14ac:dyDescent="0.3">
      <c r="E46" s="2" t="s">
        <v>223</v>
      </c>
    </row>
    <row r="47" spans="5:5" x14ac:dyDescent="0.3">
      <c r="E47" s="2" t="s">
        <v>224</v>
      </c>
    </row>
    <row r="48" spans="5:5" x14ac:dyDescent="0.3">
      <c r="E48" s="2" t="s">
        <v>225</v>
      </c>
    </row>
    <row r="49" spans="5:5" x14ac:dyDescent="0.3">
      <c r="E49" s="2" t="s">
        <v>226</v>
      </c>
    </row>
    <row r="50" spans="5:5" x14ac:dyDescent="0.3">
      <c r="E50" s="2" t="s">
        <v>227</v>
      </c>
    </row>
    <row r="51" spans="5:5" x14ac:dyDescent="0.3">
      <c r="E51" s="2" t="s">
        <v>228</v>
      </c>
    </row>
    <row r="52" spans="5:5" x14ac:dyDescent="0.3">
      <c r="E52" s="2" t="s">
        <v>229</v>
      </c>
    </row>
    <row r="53" spans="5:5" x14ac:dyDescent="0.3">
      <c r="E53" s="2" t="s">
        <v>230</v>
      </c>
    </row>
    <row r="54" spans="5:5" x14ac:dyDescent="0.3">
      <c r="E54" s="2" t="s">
        <v>231</v>
      </c>
    </row>
    <row r="55" spans="5:5" x14ac:dyDescent="0.3">
      <c r="E55" s="2" t="s">
        <v>232</v>
      </c>
    </row>
    <row r="56" spans="5:5" x14ac:dyDescent="0.3">
      <c r="E56" s="2" t="s">
        <v>233</v>
      </c>
    </row>
    <row r="57" spans="5:5" x14ac:dyDescent="0.3">
      <c r="E57" s="2" t="s">
        <v>234</v>
      </c>
    </row>
    <row r="58" spans="5:5" x14ac:dyDescent="0.3">
      <c r="E58" s="2" t="s">
        <v>235</v>
      </c>
    </row>
    <row r="59" spans="5:5" x14ac:dyDescent="0.3">
      <c r="E59" s="2" t="s">
        <v>236</v>
      </c>
    </row>
    <row r="60" spans="5:5" x14ac:dyDescent="0.3">
      <c r="E60" s="2" t="s">
        <v>237</v>
      </c>
    </row>
    <row r="61" spans="5:5" x14ac:dyDescent="0.3">
      <c r="E61" s="2" t="s">
        <v>238</v>
      </c>
    </row>
    <row r="62" spans="5:5" x14ac:dyDescent="0.3">
      <c r="E62" s="2" t="s">
        <v>239</v>
      </c>
    </row>
    <row r="63" spans="5:5" x14ac:dyDescent="0.3">
      <c r="E63" s="2" t="s">
        <v>240</v>
      </c>
    </row>
    <row r="64" spans="5:5" x14ac:dyDescent="0.3">
      <c r="E64" s="2" t="s">
        <v>241</v>
      </c>
    </row>
    <row r="65" spans="5:5" x14ac:dyDescent="0.3">
      <c r="E65" s="2" t="s">
        <v>242</v>
      </c>
    </row>
    <row r="66" spans="5:5" x14ac:dyDescent="0.3">
      <c r="E66" s="2" t="s">
        <v>243</v>
      </c>
    </row>
    <row r="67" spans="5:5" x14ac:dyDescent="0.3">
      <c r="E67" s="2" t="s">
        <v>244</v>
      </c>
    </row>
  </sheetData>
  <autoFilter ref="A1:E68" xr:uid="{273687BC-512A-47DA-A713-AD0A51601D48}"/>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E18D6-0067-437A-BC6F-33C556D42D78}">
  <dimension ref="A1:BD18"/>
  <sheetViews>
    <sheetView zoomScale="90" zoomScaleNormal="90" workbookViewId="0">
      <pane ySplit="2" topLeftCell="A3" activePane="bottomLeft" state="frozen"/>
      <selection activeCell="D7" sqref="D7"/>
      <selection pane="bottomLeft" activeCell="A9" sqref="A9"/>
    </sheetView>
  </sheetViews>
  <sheetFormatPr baseColWidth="10" defaultColWidth="11.42578125" defaultRowHeight="15" x14ac:dyDescent="0.25"/>
  <cols>
    <col min="1" max="1" width="48.140625" style="22" bestFit="1" customWidth="1"/>
    <col min="2" max="2" width="20.5703125" style="22" bestFit="1" customWidth="1"/>
    <col min="3" max="6" width="11.42578125" style="22" bestFit="1" customWidth="1"/>
    <col min="7" max="7" width="21.42578125" style="22" bestFit="1" customWidth="1"/>
    <col min="8" max="8" width="6.85546875" style="66" customWidth="1"/>
    <col min="9" max="9" width="48.140625" style="22" hidden="1" customWidth="1"/>
    <col min="10" max="10" width="17.42578125" style="22" hidden="1" customWidth="1"/>
    <col min="11" max="14" width="10.140625" style="22" hidden="1" customWidth="1"/>
    <col min="15" max="15" width="14.5703125" style="22" hidden="1" customWidth="1"/>
    <col min="16" max="16" width="16" style="22" hidden="1" customWidth="1"/>
    <col min="17" max="17" width="10.28515625" style="22" bestFit="1" customWidth="1"/>
    <col min="18" max="18" width="8.5703125" style="22" bestFit="1" customWidth="1"/>
    <col min="19" max="19" width="9.7109375" style="22" bestFit="1" customWidth="1"/>
    <col min="20" max="20" width="10.5703125" style="22" bestFit="1" customWidth="1"/>
    <col min="21" max="21" width="11" style="22" bestFit="1" customWidth="1"/>
    <col min="22" max="16384" width="11.42578125" style="22"/>
  </cols>
  <sheetData>
    <row r="1" spans="1:56" x14ac:dyDescent="0.25">
      <c r="C1" s="188" t="s">
        <v>245</v>
      </c>
      <c r="D1" s="189"/>
      <c r="E1" s="189"/>
      <c r="F1" s="189"/>
      <c r="G1" s="189"/>
      <c r="H1" s="62"/>
    </row>
    <row r="2" spans="1:56" s="25" customFormat="1" ht="59.25" customHeight="1" x14ac:dyDescent="0.25">
      <c r="A2" s="23" t="s">
        <v>246</v>
      </c>
      <c r="B2" s="23" t="s">
        <v>247</v>
      </c>
      <c r="C2" s="24">
        <v>2023</v>
      </c>
      <c r="D2" s="24">
        <v>2024</v>
      </c>
      <c r="E2" s="24">
        <v>2025</v>
      </c>
      <c r="F2" s="24">
        <v>2026</v>
      </c>
      <c r="G2" s="24" t="s">
        <v>248</v>
      </c>
      <c r="H2" s="62"/>
      <c r="I2" s="23" t="s">
        <v>246</v>
      </c>
      <c r="J2" s="23" t="s">
        <v>247</v>
      </c>
      <c r="K2" s="24">
        <v>2023</v>
      </c>
      <c r="L2" s="24">
        <v>2024</v>
      </c>
      <c r="M2" s="24">
        <v>2025</v>
      </c>
      <c r="N2" s="24">
        <v>2026</v>
      </c>
      <c r="O2" s="24" t="s">
        <v>249</v>
      </c>
      <c r="P2" s="24" t="s">
        <v>250</v>
      </c>
    </row>
    <row r="3" spans="1:56" s="25" customFormat="1" x14ac:dyDescent="0.25">
      <c r="A3" s="26" t="s">
        <v>251</v>
      </c>
      <c r="B3" s="27" t="s">
        <v>252</v>
      </c>
      <c r="C3" s="125">
        <f>+C4+C7</f>
        <v>556600</v>
      </c>
      <c r="D3" s="125">
        <f t="shared" ref="D3:F3" si="0">+D4+D7</f>
        <v>352958</v>
      </c>
      <c r="E3" s="125">
        <f t="shared" si="0"/>
        <v>76200</v>
      </c>
      <c r="F3" s="125">
        <f t="shared" si="0"/>
        <v>107400</v>
      </c>
      <c r="G3" s="28">
        <f>SUM(C3:F3)</f>
        <v>1093158</v>
      </c>
      <c r="H3" s="63"/>
      <c r="I3" s="26" t="s">
        <v>251</v>
      </c>
      <c r="J3" s="29" t="s">
        <v>252</v>
      </c>
      <c r="K3" s="30">
        <v>739000</v>
      </c>
      <c r="L3" s="30">
        <v>739000</v>
      </c>
      <c r="M3" s="30">
        <v>739000</v>
      </c>
      <c r="N3" s="30">
        <v>739000</v>
      </c>
      <c r="O3" s="28">
        <f>SUM(K3:N3)</f>
        <v>2956000</v>
      </c>
      <c r="P3" s="31"/>
    </row>
    <row r="4" spans="1:56" s="38" customFormat="1" ht="60" x14ac:dyDescent="0.25">
      <c r="A4" s="32" t="s">
        <v>253</v>
      </c>
      <c r="B4" s="33" t="s">
        <v>252</v>
      </c>
      <c r="C4" s="125">
        <v>550600</v>
      </c>
      <c r="D4" s="125">
        <v>350958</v>
      </c>
      <c r="E4" s="125">
        <v>74200</v>
      </c>
      <c r="F4" s="125">
        <v>105400</v>
      </c>
      <c r="G4" s="34">
        <f>SUM(C4:F4)</f>
        <v>1081158</v>
      </c>
      <c r="H4" s="64"/>
      <c r="I4" s="32" t="s">
        <v>254</v>
      </c>
      <c r="J4" s="32" t="s">
        <v>252</v>
      </c>
      <c r="K4" s="35">
        <v>735000</v>
      </c>
      <c r="L4" s="35">
        <v>735000</v>
      </c>
      <c r="M4" s="35">
        <v>735000</v>
      </c>
      <c r="N4" s="35">
        <v>735000</v>
      </c>
      <c r="O4" s="36">
        <f>SUM(K4:N4)</f>
        <v>2940000</v>
      </c>
      <c r="P4" s="37"/>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row>
    <row r="5" spans="1:56" s="41" customFormat="1" ht="30" x14ac:dyDescent="0.25">
      <c r="A5" s="32" t="s">
        <v>255</v>
      </c>
      <c r="B5" s="33" t="s">
        <v>256</v>
      </c>
      <c r="C5" s="125">
        <v>4</v>
      </c>
      <c r="D5" s="125">
        <v>4</v>
      </c>
      <c r="E5" s="125">
        <v>4</v>
      </c>
      <c r="F5" s="125">
        <v>4</v>
      </c>
      <c r="G5" s="34">
        <v>4</v>
      </c>
      <c r="H5" s="64"/>
      <c r="I5" s="32" t="s">
        <v>255</v>
      </c>
      <c r="J5" s="32" t="s">
        <v>256</v>
      </c>
      <c r="K5" s="39">
        <v>4</v>
      </c>
      <c r="L5" s="39">
        <v>4</v>
      </c>
      <c r="M5" s="39">
        <v>4</v>
      </c>
      <c r="N5" s="39">
        <v>4</v>
      </c>
      <c r="O5" s="36">
        <v>4</v>
      </c>
      <c r="P5" s="40"/>
      <c r="Q5" s="25"/>
      <c r="R5" s="25"/>
      <c r="S5" s="25"/>
      <c r="T5" s="25"/>
    </row>
    <row r="6" spans="1:56" s="41" customFormat="1" ht="30" x14ac:dyDescent="0.25">
      <c r="A6" s="32" t="s">
        <v>257</v>
      </c>
      <c r="B6" s="33" t="s">
        <v>256</v>
      </c>
      <c r="C6" s="125">
        <v>49000</v>
      </c>
      <c r="D6" s="125">
        <v>11503</v>
      </c>
      <c r="E6" s="125">
        <v>3470</v>
      </c>
      <c r="F6" s="125">
        <v>9480</v>
      </c>
      <c r="G6" s="34">
        <f>SUM(C6:F6)</f>
        <v>73453</v>
      </c>
      <c r="H6" s="64"/>
      <c r="I6" s="32" t="s">
        <v>257</v>
      </c>
      <c r="J6" s="32" t="s">
        <v>256</v>
      </c>
      <c r="K6" s="42">
        <v>105000</v>
      </c>
      <c r="L6" s="42">
        <v>105000</v>
      </c>
      <c r="M6" s="42">
        <v>105000</v>
      </c>
      <c r="N6" s="42">
        <v>105000</v>
      </c>
      <c r="O6" s="36">
        <f>SUM(K6:N6)</f>
        <v>420000</v>
      </c>
      <c r="P6" s="40"/>
      <c r="Q6" s="25"/>
      <c r="R6" s="25"/>
      <c r="S6" s="25"/>
      <c r="T6" s="25"/>
    </row>
    <row r="7" spans="1:56" s="41" customFormat="1" ht="51" customHeight="1" x14ac:dyDescent="0.25">
      <c r="A7" s="43" t="s">
        <v>258</v>
      </c>
      <c r="B7" s="33" t="s">
        <v>256</v>
      </c>
      <c r="C7" s="125">
        <v>6000</v>
      </c>
      <c r="D7" s="125">
        <v>2000</v>
      </c>
      <c r="E7" s="125">
        <v>2000</v>
      </c>
      <c r="F7" s="125">
        <v>2000</v>
      </c>
      <c r="G7" s="34">
        <f>SUM(C7:F7)</f>
        <v>12000</v>
      </c>
      <c r="H7" s="64"/>
      <c r="I7" s="43" t="s">
        <v>258</v>
      </c>
      <c r="J7" s="32" t="s">
        <v>256</v>
      </c>
      <c r="K7" s="44">
        <v>4000</v>
      </c>
      <c r="L7" s="44">
        <v>4000</v>
      </c>
      <c r="M7" s="44">
        <v>4000</v>
      </c>
      <c r="N7" s="44">
        <v>4000</v>
      </c>
      <c r="O7" s="36">
        <f>SUM(K7:N7)</f>
        <v>16000</v>
      </c>
      <c r="P7" s="40"/>
      <c r="Q7" s="25"/>
      <c r="R7" s="25"/>
      <c r="S7" s="25"/>
      <c r="T7" s="25"/>
    </row>
    <row r="8" spans="1:56" s="41" customFormat="1" x14ac:dyDescent="0.25">
      <c r="A8" s="32" t="s">
        <v>259</v>
      </c>
      <c r="B8" s="33" t="s">
        <v>140</v>
      </c>
      <c r="C8" s="129">
        <v>1</v>
      </c>
      <c r="D8" s="129">
        <v>1</v>
      </c>
      <c r="E8" s="129">
        <v>1</v>
      </c>
      <c r="F8" s="129">
        <v>1</v>
      </c>
      <c r="G8" s="45">
        <v>1</v>
      </c>
      <c r="H8" s="65"/>
      <c r="I8" s="32" t="s">
        <v>259</v>
      </c>
      <c r="J8" s="32" t="s">
        <v>140</v>
      </c>
      <c r="K8" s="46">
        <v>1</v>
      </c>
      <c r="L8" s="46">
        <v>1</v>
      </c>
      <c r="M8" s="46">
        <v>1</v>
      </c>
      <c r="N8" s="46">
        <v>1</v>
      </c>
      <c r="O8" s="47">
        <v>1</v>
      </c>
      <c r="P8" s="40"/>
      <c r="Q8" s="25"/>
      <c r="R8" s="25"/>
      <c r="S8" s="25"/>
      <c r="T8" s="25"/>
    </row>
    <row r="9" spans="1:56" s="41" customFormat="1" ht="41.25" customHeight="1" x14ac:dyDescent="0.25">
      <c r="A9" s="32" t="s">
        <v>260</v>
      </c>
      <c r="B9" s="33" t="s">
        <v>256</v>
      </c>
      <c r="C9" s="126">
        <v>1353</v>
      </c>
      <c r="D9" s="127">
        <v>736</v>
      </c>
      <c r="E9" s="127">
        <v>255</v>
      </c>
      <c r="F9" s="127">
        <v>256</v>
      </c>
      <c r="G9" s="34">
        <f>SUM(C9:F9)</f>
        <v>2600</v>
      </c>
      <c r="H9" s="64"/>
      <c r="I9" s="32" t="s">
        <v>261</v>
      </c>
      <c r="J9" s="32" t="s">
        <v>256</v>
      </c>
      <c r="K9" s="35">
        <v>354</v>
      </c>
      <c r="L9" s="35">
        <v>603</v>
      </c>
      <c r="M9" s="35">
        <v>604</v>
      </c>
      <c r="N9" s="35">
        <v>604</v>
      </c>
      <c r="O9" s="36">
        <f>SUM(K9:N9)</f>
        <v>2165</v>
      </c>
      <c r="P9" s="40"/>
      <c r="Q9" s="25"/>
      <c r="R9" s="25"/>
      <c r="S9" s="25"/>
      <c r="T9" s="25"/>
    </row>
    <row r="10" spans="1:56" x14ac:dyDescent="0.25">
      <c r="A10" s="48"/>
      <c r="B10" s="48"/>
      <c r="D10"/>
      <c r="E10"/>
      <c r="F10"/>
      <c r="G10" s="49"/>
      <c r="I10" s="50"/>
      <c r="J10" s="50"/>
      <c r="K10" s="25"/>
      <c r="L10" s="25"/>
      <c r="M10" s="25"/>
      <c r="N10" s="25"/>
      <c r="O10" s="25"/>
      <c r="Q10" s="25"/>
      <c r="R10" s="25"/>
      <c r="S10" s="25"/>
      <c r="T10" s="25"/>
    </row>
    <row r="11" spans="1:56" s="41" customFormat="1" ht="40.5" customHeight="1" x14ac:dyDescent="0.25">
      <c r="A11" s="43" t="s">
        <v>262</v>
      </c>
      <c r="B11" s="33" t="s">
        <v>256</v>
      </c>
      <c r="C11" s="126">
        <v>2000</v>
      </c>
      <c r="D11" s="126">
        <v>2000</v>
      </c>
      <c r="E11" s="126">
        <v>2000</v>
      </c>
      <c r="F11" s="126">
        <v>2000</v>
      </c>
      <c r="G11" s="34">
        <f>SUM(C11:F11)</f>
        <v>8000</v>
      </c>
      <c r="H11" s="64"/>
      <c r="I11" s="43" t="s">
        <v>262</v>
      </c>
      <c r="J11" s="32" t="s">
        <v>256</v>
      </c>
      <c r="K11" s="51">
        <v>4000</v>
      </c>
      <c r="L11" s="51">
        <v>4000</v>
      </c>
      <c r="M11" s="51">
        <v>4000</v>
      </c>
      <c r="N11" s="51">
        <v>4000</v>
      </c>
      <c r="O11" s="36">
        <f>SUM(K11:N11)</f>
        <v>16000</v>
      </c>
      <c r="P11" s="40"/>
      <c r="Q11" s="25"/>
      <c r="R11" s="25"/>
      <c r="S11" s="25"/>
      <c r="T11" s="25"/>
    </row>
    <row r="12" spans="1:56" s="41" customFormat="1" ht="33.75" customHeight="1" x14ac:dyDescent="0.25">
      <c r="A12" s="43" t="s">
        <v>263</v>
      </c>
      <c r="B12" s="33" t="s">
        <v>256</v>
      </c>
      <c r="C12" s="126">
        <v>20000</v>
      </c>
      <c r="D12" s="126">
        <v>16000</v>
      </c>
      <c r="E12" s="126">
        <v>16000</v>
      </c>
      <c r="F12" s="126">
        <v>16000</v>
      </c>
      <c r="G12" s="34">
        <f>SUM(C12:F12)</f>
        <v>68000</v>
      </c>
      <c r="H12" s="64"/>
      <c r="I12" s="43" t="s">
        <v>263</v>
      </c>
      <c r="J12" s="32" t="s">
        <v>256</v>
      </c>
      <c r="K12" s="51">
        <v>40000</v>
      </c>
      <c r="L12" s="51">
        <v>40000</v>
      </c>
      <c r="M12" s="51">
        <v>40000</v>
      </c>
      <c r="N12" s="51">
        <v>40000</v>
      </c>
      <c r="O12" s="36">
        <f>SUM(K12:N12)</f>
        <v>160000</v>
      </c>
      <c r="P12" s="40"/>
      <c r="Q12" s="25"/>
      <c r="R12" s="25"/>
      <c r="S12" s="25"/>
      <c r="T12" s="25"/>
    </row>
    <row r="13" spans="1:56" s="41" customFormat="1" ht="36" customHeight="1" thickBot="1" x14ac:dyDescent="0.3">
      <c r="A13" s="43" t="s">
        <v>264</v>
      </c>
      <c r="B13" s="33" t="s">
        <v>256</v>
      </c>
      <c r="C13" s="128">
        <v>3000</v>
      </c>
      <c r="D13" s="128">
        <v>2550</v>
      </c>
      <c r="E13" s="128">
        <v>2550</v>
      </c>
      <c r="F13" s="128">
        <v>2550</v>
      </c>
      <c r="G13" s="34">
        <f>SUM(C13:F13)</f>
        <v>10650</v>
      </c>
      <c r="H13" s="64"/>
      <c r="I13" s="43" t="s">
        <v>264</v>
      </c>
      <c r="J13" s="32" t="s">
        <v>256</v>
      </c>
      <c r="K13" s="51">
        <v>7760</v>
      </c>
      <c r="L13" s="51">
        <v>7760</v>
      </c>
      <c r="M13" s="51">
        <v>7760</v>
      </c>
      <c r="N13" s="51">
        <v>7761</v>
      </c>
      <c r="O13" s="36">
        <f>SUM(K13:N13)</f>
        <v>31041</v>
      </c>
      <c r="P13" s="40"/>
      <c r="Q13" s="25"/>
      <c r="R13" s="25"/>
      <c r="S13" s="25"/>
      <c r="T13" s="25"/>
    </row>
    <row r="14" spans="1:56" s="41" customFormat="1" ht="47.25" customHeight="1" x14ac:dyDescent="0.25">
      <c r="A14" s="43" t="s">
        <v>265</v>
      </c>
      <c r="B14" s="33" t="s">
        <v>256</v>
      </c>
      <c r="C14" s="126">
        <v>2000</v>
      </c>
      <c r="D14" s="126">
        <v>2000</v>
      </c>
      <c r="E14" s="126">
        <v>2000</v>
      </c>
      <c r="F14" s="126">
        <v>2000</v>
      </c>
      <c r="G14" s="34">
        <f>SUM(C14:F14)</f>
        <v>8000</v>
      </c>
      <c r="H14" s="64"/>
      <c r="I14" s="43" t="s">
        <v>265</v>
      </c>
      <c r="J14" s="32" t="s">
        <v>256</v>
      </c>
      <c r="K14" s="35">
        <v>21175</v>
      </c>
      <c r="L14" s="35">
        <v>21175</v>
      </c>
      <c r="M14" s="35">
        <v>21175</v>
      </c>
      <c r="N14" s="35">
        <v>21175</v>
      </c>
      <c r="O14" s="36">
        <f>SUM(K14:N14)</f>
        <v>84700</v>
      </c>
      <c r="P14" s="40"/>
      <c r="Q14" s="25"/>
      <c r="R14" s="25"/>
      <c r="S14" s="25"/>
      <c r="T14" s="25"/>
      <c r="U14" s="41">
        <f>+T14/2</f>
        <v>0</v>
      </c>
    </row>
    <row r="15" spans="1:56" s="41" customFormat="1" ht="71.099999999999994" customHeight="1" x14ac:dyDescent="0.25">
      <c r="A15" s="32" t="s">
        <v>266</v>
      </c>
      <c r="B15" s="33" t="s">
        <v>256</v>
      </c>
      <c r="C15" s="127">
        <v>16</v>
      </c>
      <c r="D15" s="127">
        <v>16</v>
      </c>
      <c r="E15" s="127">
        <v>16</v>
      </c>
      <c r="F15" s="127">
        <v>15</v>
      </c>
      <c r="G15" s="34">
        <f>SUM(C15:F15)</f>
        <v>63</v>
      </c>
      <c r="H15" s="64"/>
      <c r="I15" s="32" t="s">
        <v>266</v>
      </c>
      <c r="J15" s="32" t="s">
        <v>256</v>
      </c>
      <c r="K15" s="35">
        <v>1</v>
      </c>
      <c r="L15" s="35">
        <v>1</v>
      </c>
      <c r="M15" s="35">
        <v>1</v>
      </c>
      <c r="N15" s="35">
        <v>1</v>
      </c>
      <c r="O15" s="36">
        <f>SUM(K15:N15)</f>
        <v>4</v>
      </c>
      <c r="P15" s="40"/>
      <c r="Q15" s="25"/>
      <c r="R15" s="25"/>
      <c r="S15" s="25"/>
      <c r="T15" s="25"/>
    </row>
    <row r="16" spans="1:56" x14ac:dyDescent="0.25">
      <c r="E16" s="52"/>
      <c r="F16" s="52"/>
      <c r="Q16" s="25"/>
      <c r="R16" s="25"/>
      <c r="S16" s="25"/>
      <c r="T16" s="25"/>
    </row>
    <row r="17" spans="5:20" x14ac:dyDescent="0.25">
      <c r="E17" s="52"/>
      <c r="Q17" s="25"/>
      <c r="R17" s="25"/>
      <c r="S17" s="25"/>
      <c r="T17" s="25"/>
    </row>
    <row r="18" spans="5:20" x14ac:dyDescent="0.25">
      <c r="E18" s="52"/>
    </row>
  </sheetData>
  <mergeCells count="1">
    <mergeCell ref="C1:G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2FBDD-F9DA-4C8B-AE80-4EEBB6F3E524}">
  <dimension ref="A1:K27"/>
  <sheetViews>
    <sheetView showGridLines="0" workbookViewId="0">
      <selection activeCell="H9" sqref="H9"/>
    </sheetView>
  </sheetViews>
  <sheetFormatPr baseColWidth="10" defaultColWidth="11.42578125" defaultRowHeight="15" x14ac:dyDescent="0.25"/>
  <cols>
    <col min="1" max="1" width="36.7109375" customWidth="1"/>
    <col min="2" max="6" width="9.42578125" customWidth="1"/>
    <col min="7" max="7" width="18.140625" customWidth="1"/>
    <col min="8" max="8" width="9.42578125" customWidth="1"/>
  </cols>
  <sheetData>
    <row r="1" spans="1:11" s="54" customFormat="1" ht="45" x14ac:dyDescent="0.25">
      <c r="A1" s="23" t="s">
        <v>246</v>
      </c>
      <c r="B1" s="23" t="s">
        <v>247</v>
      </c>
      <c r="C1" s="24">
        <v>2023</v>
      </c>
      <c r="D1" s="24">
        <v>2024</v>
      </c>
      <c r="E1" s="24">
        <v>2025</v>
      </c>
      <c r="F1" s="24">
        <v>2026</v>
      </c>
      <c r="G1" s="24" t="s">
        <v>248</v>
      </c>
      <c r="H1" s="53"/>
    </row>
    <row r="2" spans="1:11" ht="26.25" customHeight="1" thickBot="1" x14ac:dyDescent="0.3">
      <c r="A2" s="32" t="s">
        <v>267</v>
      </c>
      <c r="B2" s="55" t="s">
        <v>268</v>
      </c>
      <c r="C2" s="127">
        <v>120</v>
      </c>
      <c r="D2" s="127">
        <v>117</v>
      </c>
      <c r="E2" s="127">
        <v>107</v>
      </c>
      <c r="F2" s="127">
        <v>100</v>
      </c>
      <c r="G2" s="34">
        <f>SUM(C2:F2)</f>
        <v>444</v>
      </c>
      <c r="H2" s="53"/>
      <c r="I2" s="53"/>
      <c r="K2" s="56"/>
    </row>
    <row r="3" spans="1:11" x14ac:dyDescent="0.25">
      <c r="A3" s="32" t="s">
        <v>269</v>
      </c>
      <c r="B3" s="55" t="s">
        <v>256</v>
      </c>
      <c r="C3" s="130">
        <v>17750</v>
      </c>
      <c r="D3" s="130">
        <v>25303</v>
      </c>
      <c r="E3" s="130">
        <v>24159</v>
      </c>
      <c r="F3" s="130">
        <v>21129</v>
      </c>
      <c r="G3" s="34">
        <f>SUM(C3:F3)</f>
        <v>88341</v>
      </c>
      <c r="H3" s="53"/>
      <c r="I3" s="53"/>
      <c r="J3" s="53"/>
      <c r="K3" s="53"/>
    </row>
    <row r="4" spans="1:11" ht="45" x14ac:dyDescent="0.25">
      <c r="A4" s="32" t="s">
        <v>270</v>
      </c>
      <c r="B4" s="55" t="s">
        <v>256</v>
      </c>
      <c r="C4" s="127">
        <v>1000</v>
      </c>
      <c r="D4" s="127">
        <v>500</v>
      </c>
      <c r="E4" s="127">
        <v>500</v>
      </c>
      <c r="F4" s="127">
        <v>600</v>
      </c>
      <c r="G4" s="34">
        <f>SUM(C4:F4)</f>
        <v>2600</v>
      </c>
      <c r="H4" s="53"/>
      <c r="I4" s="53"/>
      <c r="K4" s="53"/>
    </row>
    <row r="5" spans="1:11" ht="45" x14ac:dyDescent="0.25">
      <c r="A5" s="32" t="s">
        <v>271</v>
      </c>
      <c r="B5" s="55" t="s">
        <v>256</v>
      </c>
      <c r="C5" s="126">
        <v>2000</v>
      </c>
      <c r="D5" s="126">
        <v>2700</v>
      </c>
      <c r="E5" s="126">
        <v>2500</v>
      </c>
      <c r="F5" s="126">
        <v>2200</v>
      </c>
      <c r="G5" s="34">
        <f t="shared" ref="G5:G6" si="0">SUM(C5:F5)</f>
        <v>9400</v>
      </c>
      <c r="H5" s="53"/>
      <c r="I5" s="53"/>
      <c r="J5" s="53"/>
      <c r="K5" s="53"/>
    </row>
    <row r="6" spans="1:11" x14ac:dyDescent="0.25">
      <c r="A6" s="32" t="s">
        <v>272</v>
      </c>
      <c r="B6" s="55" t="s">
        <v>256</v>
      </c>
      <c r="C6" s="127">
        <v>4</v>
      </c>
      <c r="D6" s="127">
        <v>6</v>
      </c>
      <c r="E6" s="127">
        <v>6</v>
      </c>
      <c r="F6" s="127">
        <v>2</v>
      </c>
      <c r="G6" s="34">
        <f t="shared" si="0"/>
        <v>18</v>
      </c>
      <c r="H6" s="53"/>
      <c r="J6" s="53"/>
    </row>
    <row r="7" spans="1:11" x14ac:dyDescent="0.25">
      <c r="C7" s="57"/>
      <c r="H7" s="53"/>
    </row>
    <row r="8" spans="1:11" x14ac:dyDescent="0.25">
      <c r="C8" s="57"/>
      <c r="H8" s="53"/>
    </row>
    <row r="17" spans="1:2" x14ac:dyDescent="0.25">
      <c r="A17" s="58" t="s">
        <v>273</v>
      </c>
      <c r="B17" s="59" t="s">
        <v>274</v>
      </c>
    </row>
    <row r="18" spans="1:2" x14ac:dyDescent="0.25">
      <c r="A18" s="60" t="s">
        <v>275</v>
      </c>
      <c r="B18" s="4" t="s">
        <v>276</v>
      </c>
    </row>
    <row r="19" spans="1:2" x14ac:dyDescent="0.25">
      <c r="A19" s="60" t="s">
        <v>277</v>
      </c>
      <c r="B19" s="4" t="s">
        <v>278</v>
      </c>
    </row>
    <row r="20" spans="1:2" x14ac:dyDescent="0.25">
      <c r="A20" s="60" t="s">
        <v>279</v>
      </c>
      <c r="B20" s="4" t="s">
        <v>280</v>
      </c>
    </row>
    <row r="21" spans="1:2" x14ac:dyDescent="0.25">
      <c r="A21" s="61" t="s">
        <v>281</v>
      </c>
      <c r="B21" s="4" t="s">
        <v>282</v>
      </c>
    </row>
    <row r="22" spans="1:2" x14ac:dyDescent="0.25">
      <c r="A22" s="60" t="s">
        <v>283</v>
      </c>
      <c r="B22" s="4" t="s">
        <v>284</v>
      </c>
    </row>
    <row r="23" spans="1:2" x14ac:dyDescent="0.25">
      <c r="A23" s="60" t="s">
        <v>285</v>
      </c>
      <c r="B23" s="4" t="s">
        <v>286</v>
      </c>
    </row>
    <row r="24" spans="1:2" x14ac:dyDescent="0.25">
      <c r="A24" s="60" t="s">
        <v>287</v>
      </c>
      <c r="B24" s="4" t="s">
        <v>288</v>
      </c>
    </row>
    <row r="25" spans="1:2" x14ac:dyDescent="0.25">
      <c r="A25" s="60" t="s">
        <v>289</v>
      </c>
      <c r="B25" s="4" t="s">
        <v>290</v>
      </c>
    </row>
    <row r="26" spans="1:2" x14ac:dyDescent="0.25">
      <c r="A26" s="60" t="s">
        <v>291</v>
      </c>
      <c r="B26" s="4" t="s">
        <v>292</v>
      </c>
    </row>
    <row r="27" spans="1:2" x14ac:dyDescent="0.25">
      <c r="A27" s="60" t="s">
        <v>293</v>
      </c>
      <c r="B27" s="4" t="s">
        <v>294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03EC1-6729-4278-B1F8-3CA61D70F716}">
  <dimension ref="A1:G6"/>
  <sheetViews>
    <sheetView workbookViewId="0">
      <selection activeCell="I12" sqref="I12"/>
    </sheetView>
  </sheetViews>
  <sheetFormatPr baseColWidth="10" defaultColWidth="11.42578125" defaultRowHeight="15" x14ac:dyDescent="0.25"/>
  <cols>
    <col min="1" max="1" width="25.85546875" customWidth="1"/>
    <col min="2" max="2" width="37.85546875" customWidth="1"/>
  </cols>
  <sheetData>
    <row r="1" spans="1:7" ht="42.75" thickBot="1" x14ac:dyDescent="0.3">
      <c r="A1" s="142" t="s">
        <v>295</v>
      </c>
      <c r="B1" s="143" t="s">
        <v>296</v>
      </c>
      <c r="C1" s="144" t="s">
        <v>297</v>
      </c>
      <c r="D1" s="144" t="s">
        <v>298</v>
      </c>
      <c r="E1" s="144" t="s">
        <v>299</v>
      </c>
      <c r="F1" s="144" t="s">
        <v>300</v>
      </c>
      <c r="G1" s="145" t="s">
        <v>301</v>
      </c>
    </row>
    <row r="2" spans="1:7" ht="30" customHeight="1" x14ac:dyDescent="0.25">
      <c r="A2" s="190" t="s">
        <v>302</v>
      </c>
      <c r="B2" s="131" t="s">
        <v>303</v>
      </c>
      <c r="C2" s="130">
        <v>4183</v>
      </c>
      <c r="D2" s="146">
        <v>32049</v>
      </c>
      <c r="E2" s="132">
        <v>12764</v>
      </c>
      <c r="F2" s="132">
        <v>47000</v>
      </c>
      <c r="G2" s="133">
        <v>95996</v>
      </c>
    </row>
    <row r="3" spans="1:7" ht="30" customHeight="1" x14ac:dyDescent="0.25">
      <c r="A3" s="191"/>
      <c r="B3" s="134" t="s">
        <v>304</v>
      </c>
      <c r="C3" s="127">
        <v>0</v>
      </c>
      <c r="D3" s="135">
        <v>2.2999999999999998</v>
      </c>
      <c r="E3" s="135">
        <v>1.27</v>
      </c>
      <c r="F3" s="135">
        <v>2.544</v>
      </c>
      <c r="G3" s="136">
        <v>6</v>
      </c>
    </row>
    <row r="4" spans="1:7" ht="30" customHeight="1" x14ac:dyDescent="0.25">
      <c r="A4" s="191"/>
      <c r="B4" s="134" t="s">
        <v>305</v>
      </c>
      <c r="C4" s="127">
        <v>0</v>
      </c>
      <c r="D4" s="137">
        <v>17500</v>
      </c>
      <c r="E4" s="137">
        <v>7500</v>
      </c>
      <c r="F4" s="137">
        <v>16500</v>
      </c>
      <c r="G4" s="138">
        <v>41500</v>
      </c>
    </row>
    <row r="5" spans="1:7" ht="30" customHeight="1" x14ac:dyDescent="0.25">
      <c r="A5" s="191"/>
      <c r="B5" s="134" t="s">
        <v>306</v>
      </c>
      <c r="C5" s="137">
        <v>140000</v>
      </c>
      <c r="D5" s="137">
        <v>14000</v>
      </c>
      <c r="E5" s="137">
        <v>14000</v>
      </c>
      <c r="F5" s="137">
        <v>14000</v>
      </c>
      <c r="G5" s="138">
        <v>182000</v>
      </c>
    </row>
    <row r="6" spans="1:7" ht="30" customHeight="1" thickBot="1" x14ac:dyDescent="0.3">
      <c r="A6" s="192"/>
      <c r="B6" s="139" t="s">
        <v>307</v>
      </c>
      <c r="C6" s="140">
        <v>0</v>
      </c>
      <c r="D6" s="140">
        <v>1</v>
      </c>
      <c r="E6" s="140">
        <v>1</v>
      </c>
      <c r="F6" s="140">
        <v>1</v>
      </c>
      <c r="G6" s="141">
        <v>3</v>
      </c>
    </row>
  </sheetData>
  <mergeCells count="1">
    <mergeCell ref="A2:A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D273-5355-42C1-A990-36884FED991E}">
  <dimension ref="A1:O29"/>
  <sheetViews>
    <sheetView workbookViewId="0">
      <selection activeCell="G11" sqref="G11:G27"/>
    </sheetView>
  </sheetViews>
  <sheetFormatPr baseColWidth="10" defaultColWidth="11.42578125" defaultRowHeight="15" x14ac:dyDescent="0.25"/>
  <cols>
    <col min="1" max="1" width="27.140625" bestFit="1" customWidth="1"/>
    <col min="2" max="2" width="20.42578125" customWidth="1"/>
    <col min="7" max="7" width="32.85546875" bestFit="1" customWidth="1"/>
    <col min="9" max="9" width="14.5703125" bestFit="1" customWidth="1"/>
    <col min="11" max="11" width="13.7109375" bestFit="1" customWidth="1"/>
    <col min="12" max="12" width="15.42578125" bestFit="1" customWidth="1"/>
  </cols>
  <sheetData>
    <row r="1" spans="1:15" ht="15.75" thickBot="1" x14ac:dyDescent="0.3"/>
    <row r="2" spans="1:15" x14ac:dyDescent="0.25">
      <c r="A2" t="s">
        <v>103</v>
      </c>
      <c r="D2" t="s">
        <v>308</v>
      </c>
      <c r="G2" s="5" t="s">
        <v>95</v>
      </c>
      <c r="I2" s="186" t="s">
        <v>309</v>
      </c>
      <c r="J2" s="186"/>
      <c r="K2" t="s">
        <v>310</v>
      </c>
      <c r="L2" t="s">
        <v>311</v>
      </c>
      <c r="M2" t="s">
        <v>312</v>
      </c>
      <c r="N2" t="s">
        <v>313</v>
      </c>
      <c r="O2" t="s">
        <v>314</v>
      </c>
    </row>
    <row r="3" spans="1:15" x14ac:dyDescent="0.25">
      <c r="A3">
        <v>1</v>
      </c>
      <c r="B3" t="s">
        <v>315</v>
      </c>
      <c r="D3">
        <v>5</v>
      </c>
      <c r="E3" t="s">
        <v>316</v>
      </c>
      <c r="G3" s="6" t="s">
        <v>317</v>
      </c>
      <c r="I3" t="s">
        <v>318</v>
      </c>
      <c r="J3" t="s">
        <v>319</v>
      </c>
      <c r="K3" t="s">
        <v>320</v>
      </c>
      <c r="L3" t="s">
        <v>321</v>
      </c>
      <c r="M3" t="s">
        <v>322</v>
      </c>
      <c r="N3" t="s">
        <v>323</v>
      </c>
      <c r="O3" t="s">
        <v>324</v>
      </c>
    </row>
    <row r="4" spans="1:15" x14ac:dyDescent="0.25">
      <c r="A4">
        <v>2</v>
      </c>
      <c r="B4" t="s">
        <v>325</v>
      </c>
      <c r="D4">
        <v>4</v>
      </c>
      <c r="E4" t="s">
        <v>66</v>
      </c>
      <c r="G4" s="6" t="s">
        <v>326</v>
      </c>
      <c r="I4" t="s">
        <v>327</v>
      </c>
      <c r="J4" t="s">
        <v>328</v>
      </c>
      <c r="K4" t="s">
        <v>329</v>
      </c>
      <c r="L4" t="s">
        <v>330</v>
      </c>
      <c r="M4" t="s">
        <v>331</v>
      </c>
      <c r="N4" t="s">
        <v>332</v>
      </c>
      <c r="O4" t="s">
        <v>333</v>
      </c>
    </row>
    <row r="5" spans="1:15" x14ac:dyDescent="0.25">
      <c r="A5">
        <v>3</v>
      </c>
      <c r="B5" t="s">
        <v>334</v>
      </c>
      <c r="D5">
        <v>3</v>
      </c>
      <c r="E5" t="s">
        <v>60</v>
      </c>
      <c r="G5" s="6" t="s">
        <v>335</v>
      </c>
      <c r="L5" t="s">
        <v>336</v>
      </c>
      <c r="O5" t="s">
        <v>337</v>
      </c>
    </row>
    <row r="6" spans="1:15" x14ac:dyDescent="0.25">
      <c r="A6">
        <v>4</v>
      </c>
      <c r="B6" t="s">
        <v>338</v>
      </c>
      <c r="D6">
        <v>2</v>
      </c>
      <c r="E6" t="s">
        <v>53</v>
      </c>
      <c r="G6" s="6" t="s">
        <v>339</v>
      </c>
    </row>
    <row r="7" spans="1:15" x14ac:dyDescent="0.25">
      <c r="A7">
        <v>5</v>
      </c>
      <c r="B7" t="s">
        <v>340</v>
      </c>
      <c r="D7">
        <v>1</v>
      </c>
      <c r="E7" t="s">
        <v>341</v>
      </c>
      <c r="G7" s="6" t="s">
        <v>342</v>
      </c>
    </row>
    <row r="8" spans="1:15" x14ac:dyDescent="0.25">
      <c r="G8" s="6" t="s">
        <v>343</v>
      </c>
    </row>
    <row r="9" spans="1:15" x14ac:dyDescent="0.25">
      <c r="G9" s="6" t="s">
        <v>344</v>
      </c>
      <c r="I9" s="7" t="s">
        <v>345</v>
      </c>
      <c r="K9" s="7" t="s">
        <v>346</v>
      </c>
    </row>
    <row r="10" spans="1:15" ht="15.75" thickBot="1" x14ac:dyDescent="0.3">
      <c r="G10" s="8" t="s">
        <v>347</v>
      </c>
      <c r="I10" t="s">
        <v>348</v>
      </c>
      <c r="K10" t="s">
        <v>349</v>
      </c>
    </row>
    <row r="11" spans="1:15" ht="15.75" thickBot="1" x14ac:dyDescent="0.3">
      <c r="I11" t="s">
        <v>350</v>
      </c>
      <c r="K11" t="s">
        <v>60</v>
      </c>
    </row>
    <row r="12" spans="1:15" ht="15.75" thickBot="1" x14ac:dyDescent="0.3">
      <c r="A12" s="7" t="s">
        <v>351</v>
      </c>
      <c r="D12" s="7" t="s">
        <v>352</v>
      </c>
      <c r="G12" s="5" t="s">
        <v>353</v>
      </c>
      <c r="I12" t="s">
        <v>354</v>
      </c>
      <c r="K12" t="s">
        <v>355</v>
      </c>
    </row>
    <row r="13" spans="1:15" x14ac:dyDescent="0.25">
      <c r="A13" t="s">
        <v>356</v>
      </c>
      <c r="B13" t="s">
        <v>357</v>
      </c>
      <c r="D13" t="s">
        <v>85</v>
      </c>
      <c r="G13" s="9" t="s">
        <v>358</v>
      </c>
    </row>
    <row r="14" spans="1:15" x14ac:dyDescent="0.25">
      <c r="A14" t="s">
        <v>359</v>
      </c>
      <c r="B14" t="s">
        <v>51</v>
      </c>
      <c r="D14" t="s">
        <v>87</v>
      </c>
      <c r="G14" s="6" t="s">
        <v>151</v>
      </c>
    </row>
    <row r="15" spans="1:15" x14ac:dyDescent="0.25">
      <c r="A15" t="s">
        <v>360</v>
      </c>
      <c r="B15" t="s">
        <v>51</v>
      </c>
      <c r="G15" s="6" t="s">
        <v>361</v>
      </c>
    </row>
    <row r="16" spans="1:15" x14ac:dyDescent="0.25">
      <c r="A16" t="s">
        <v>362</v>
      </c>
      <c r="B16" t="s">
        <v>363</v>
      </c>
      <c r="G16" s="6" t="s">
        <v>364</v>
      </c>
    </row>
    <row r="17" spans="1:7" x14ac:dyDescent="0.25">
      <c r="A17" t="s">
        <v>365</v>
      </c>
      <c r="B17" t="s">
        <v>64</v>
      </c>
      <c r="G17" s="6" t="s">
        <v>366</v>
      </c>
    </row>
    <row r="18" spans="1:7" x14ac:dyDescent="0.25">
      <c r="A18" t="s">
        <v>367</v>
      </c>
      <c r="B18" t="s">
        <v>357</v>
      </c>
      <c r="G18" s="6" t="s">
        <v>368</v>
      </c>
    </row>
    <row r="19" spans="1:7" x14ac:dyDescent="0.25">
      <c r="A19" t="s">
        <v>369</v>
      </c>
      <c r="B19" t="s">
        <v>51</v>
      </c>
      <c r="G19" s="6" t="s">
        <v>370</v>
      </c>
    </row>
    <row r="20" spans="1:7" x14ac:dyDescent="0.25">
      <c r="A20" t="s">
        <v>371</v>
      </c>
      <c r="B20" t="s">
        <v>363</v>
      </c>
      <c r="G20" s="6" t="s">
        <v>372</v>
      </c>
    </row>
    <row r="21" spans="1:7" x14ac:dyDescent="0.25">
      <c r="A21" t="s">
        <v>373</v>
      </c>
      <c r="B21" t="s">
        <v>374</v>
      </c>
      <c r="G21" s="6" t="s">
        <v>138</v>
      </c>
    </row>
    <row r="22" spans="1:7" x14ac:dyDescent="0.25">
      <c r="A22" t="s">
        <v>375</v>
      </c>
      <c r="B22" t="s">
        <v>64</v>
      </c>
      <c r="G22" s="6" t="s">
        <v>177</v>
      </c>
    </row>
    <row r="23" spans="1:7" x14ac:dyDescent="0.25">
      <c r="A23" t="s">
        <v>376</v>
      </c>
      <c r="B23" t="s">
        <v>357</v>
      </c>
      <c r="G23" s="6" t="s">
        <v>377</v>
      </c>
    </row>
    <row r="24" spans="1:7" x14ac:dyDescent="0.25">
      <c r="A24" t="s">
        <v>378</v>
      </c>
      <c r="B24" t="s">
        <v>51</v>
      </c>
      <c r="G24" s="6" t="s">
        <v>379</v>
      </c>
    </row>
    <row r="25" spans="1:7" x14ac:dyDescent="0.25">
      <c r="G25" s="6" t="s">
        <v>380</v>
      </c>
    </row>
    <row r="26" spans="1:7" x14ac:dyDescent="0.25">
      <c r="G26" s="6" t="s">
        <v>381</v>
      </c>
    </row>
    <row r="27" spans="1:7" x14ac:dyDescent="0.25">
      <c r="G27" s="6" t="s">
        <v>382</v>
      </c>
    </row>
    <row r="28" spans="1:7" x14ac:dyDescent="0.25">
      <c r="G28" s="10" t="s">
        <v>383</v>
      </c>
    </row>
    <row r="29" spans="1:7" ht="15.75" thickBot="1" x14ac:dyDescent="0.3">
      <c r="G29" s="11" t="s">
        <v>384</v>
      </c>
    </row>
  </sheetData>
  <mergeCells count="1">
    <mergeCell ref="I2:J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BA633-C90A-4FCB-BEDB-C5A3F808C009}">
  <dimension ref="A1:P4"/>
  <sheetViews>
    <sheetView workbookViewId="0">
      <selection activeCell="B4" sqref="B4:N4"/>
    </sheetView>
  </sheetViews>
  <sheetFormatPr baseColWidth="10" defaultColWidth="11.42578125" defaultRowHeight="15.75" x14ac:dyDescent="0.3"/>
  <cols>
    <col min="1" max="1" width="8" style="16" customWidth="1"/>
    <col min="2" max="2" width="22.7109375" style="15" bestFit="1" customWidth="1"/>
    <col min="3" max="14" width="11.42578125" style="15"/>
    <col min="15" max="16" width="33.5703125" style="15" customWidth="1"/>
    <col min="17" max="16384" width="11.42578125" style="15"/>
  </cols>
  <sheetData>
    <row r="1" spans="1:16" x14ac:dyDescent="0.3">
      <c r="O1" s="195" t="s">
        <v>385</v>
      </c>
      <c r="P1" s="195"/>
    </row>
    <row r="2" spans="1:16" ht="204.75" x14ac:dyDescent="0.3">
      <c r="A2" s="16">
        <v>1</v>
      </c>
      <c r="B2" s="193" t="s">
        <v>386</v>
      </c>
      <c r="C2" s="193"/>
      <c r="D2" s="193"/>
      <c r="E2" s="193"/>
      <c r="F2" s="193"/>
      <c r="G2" s="193"/>
      <c r="H2" s="193"/>
      <c r="I2" s="193"/>
      <c r="J2" s="193"/>
      <c r="K2" s="193"/>
      <c r="L2" s="193"/>
      <c r="M2" s="193"/>
      <c r="N2" s="193"/>
      <c r="O2" s="17" t="s">
        <v>387</v>
      </c>
      <c r="P2" s="17" t="s">
        <v>388</v>
      </c>
    </row>
    <row r="3" spans="1:16" ht="186.75" customHeight="1" x14ac:dyDescent="0.3">
      <c r="A3" s="16">
        <v>2</v>
      </c>
      <c r="B3" s="194" t="s">
        <v>389</v>
      </c>
      <c r="C3" s="194"/>
      <c r="D3" s="194"/>
      <c r="E3" s="194"/>
      <c r="F3" s="194"/>
      <c r="G3" s="194"/>
      <c r="H3" s="194"/>
      <c r="I3" s="194"/>
      <c r="J3" s="194"/>
      <c r="K3" s="194"/>
      <c r="L3" s="194"/>
      <c r="M3" s="194"/>
      <c r="N3" s="194"/>
      <c r="O3" s="17" t="s">
        <v>390</v>
      </c>
      <c r="P3" s="17" t="s">
        <v>391</v>
      </c>
    </row>
    <row r="4" spans="1:16" ht="135.75" customHeight="1" x14ac:dyDescent="0.3">
      <c r="A4" s="16">
        <v>3</v>
      </c>
      <c r="B4" s="193" t="s">
        <v>392</v>
      </c>
      <c r="C4" s="193"/>
      <c r="D4" s="193"/>
      <c r="E4" s="193"/>
      <c r="F4" s="193"/>
      <c r="G4" s="193"/>
      <c r="H4" s="193"/>
      <c r="I4" s="193"/>
      <c r="J4" s="193"/>
      <c r="K4" s="193"/>
      <c r="L4" s="193"/>
      <c r="M4" s="193"/>
      <c r="N4" s="193"/>
      <c r="O4" s="17" t="s">
        <v>393</v>
      </c>
      <c r="P4" s="17" t="s">
        <v>394</v>
      </c>
    </row>
  </sheetData>
  <mergeCells count="4">
    <mergeCell ref="B2:N2"/>
    <mergeCell ref="B3:N3"/>
    <mergeCell ref="O1:P1"/>
    <mergeCell ref="B4:N4"/>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F06A5-4635-4FCE-860E-4B8E9C7025E7}">
  <dimension ref="B1:E21"/>
  <sheetViews>
    <sheetView workbookViewId="0">
      <selection activeCell="A2" sqref="A2"/>
    </sheetView>
  </sheetViews>
  <sheetFormatPr baseColWidth="10" defaultColWidth="10.42578125" defaultRowHeight="16.5" x14ac:dyDescent="0.3"/>
  <cols>
    <col min="1" max="4" width="10.42578125" style="12"/>
    <col min="5" max="5" width="30.42578125" style="12" bestFit="1" customWidth="1"/>
    <col min="6" max="16384" width="10.42578125" style="12"/>
  </cols>
  <sheetData>
    <row r="1" spans="2:5" ht="50.25" thickBot="1" x14ac:dyDescent="0.35">
      <c r="B1" s="14" t="s">
        <v>137</v>
      </c>
      <c r="C1" s="14" t="s">
        <v>395</v>
      </c>
      <c r="E1" s="5" t="s">
        <v>396</v>
      </c>
    </row>
    <row r="2" spans="2:5" x14ac:dyDescent="0.3">
      <c r="B2" s="13" t="s">
        <v>397</v>
      </c>
      <c r="C2" s="13" t="s">
        <v>398</v>
      </c>
      <c r="E2" s="9" t="s">
        <v>399</v>
      </c>
    </row>
    <row r="3" spans="2:5" x14ac:dyDescent="0.3">
      <c r="B3" s="13" t="s">
        <v>400</v>
      </c>
      <c r="C3" s="13" t="s">
        <v>401</v>
      </c>
      <c r="E3" s="6" t="s">
        <v>402</v>
      </c>
    </row>
    <row r="4" spans="2:5" x14ac:dyDescent="0.3">
      <c r="B4" s="13" t="s">
        <v>139</v>
      </c>
      <c r="C4" s="13" t="s">
        <v>141</v>
      </c>
      <c r="E4" s="6" t="s">
        <v>403</v>
      </c>
    </row>
    <row r="5" spans="2:5" ht="17.25" thickBot="1" x14ac:dyDescent="0.35"/>
    <row r="6" spans="2:5" ht="17.25" thickBot="1" x14ac:dyDescent="0.35">
      <c r="E6" s="5" t="s">
        <v>353</v>
      </c>
    </row>
    <row r="7" spans="2:5" x14ac:dyDescent="0.3">
      <c r="E7" s="9" t="s">
        <v>358</v>
      </c>
    </row>
    <row r="8" spans="2:5" x14ac:dyDescent="0.3">
      <c r="E8" s="6" t="s">
        <v>151</v>
      </c>
    </row>
    <row r="9" spans="2:5" x14ac:dyDescent="0.3">
      <c r="E9" s="6" t="s">
        <v>361</v>
      </c>
    </row>
    <row r="10" spans="2:5" x14ac:dyDescent="0.3">
      <c r="E10" s="6" t="s">
        <v>364</v>
      </c>
    </row>
    <row r="11" spans="2:5" x14ac:dyDescent="0.3">
      <c r="E11" s="6" t="s">
        <v>366</v>
      </c>
    </row>
    <row r="12" spans="2:5" x14ac:dyDescent="0.3">
      <c r="E12" s="6" t="s">
        <v>368</v>
      </c>
    </row>
    <row r="13" spans="2:5" x14ac:dyDescent="0.3">
      <c r="E13" s="6" t="s">
        <v>370</v>
      </c>
    </row>
    <row r="14" spans="2:5" x14ac:dyDescent="0.3">
      <c r="E14" s="6" t="s">
        <v>372</v>
      </c>
    </row>
    <row r="15" spans="2:5" x14ac:dyDescent="0.3">
      <c r="E15" s="6" t="s">
        <v>138</v>
      </c>
    </row>
    <row r="16" spans="2:5" x14ac:dyDescent="0.3">
      <c r="E16" s="6" t="s">
        <v>177</v>
      </c>
    </row>
    <row r="17" spans="5:5" x14ac:dyDescent="0.3">
      <c r="E17" s="6" t="s">
        <v>377</v>
      </c>
    </row>
    <row r="18" spans="5:5" x14ac:dyDescent="0.3">
      <c r="E18" s="6" t="s">
        <v>379</v>
      </c>
    </row>
    <row r="19" spans="5:5" x14ac:dyDescent="0.3">
      <c r="E19" s="6" t="s">
        <v>380</v>
      </c>
    </row>
    <row r="20" spans="5:5" x14ac:dyDescent="0.3">
      <c r="E20" s="6" t="s">
        <v>381</v>
      </c>
    </row>
    <row r="21" spans="5:5" x14ac:dyDescent="0.3">
      <c r="E21" s="6" t="s">
        <v>382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Plan de acción 2026</vt:lpstr>
      <vt:lpstr>Listas_R.T.I</vt:lpstr>
      <vt:lpstr>Parámetros </vt:lpstr>
      <vt:lpstr>Metas Incremento </vt:lpstr>
      <vt:lpstr>Metas Recuperacion </vt:lpstr>
      <vt:lpstr>Metas Directa</vt:lpstr>
      <vt:lpstr>Listas</vt:lpstr>
      <vt:lpstr>Definiciones</vt:lpstr>
      <vt:lpstr>PARAMETROS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Catalina Andrea Gutierrez Cardozo</dc:creator>
  <cp:keywords/>
  <dc:description/>
  <cp:lastModifiedBy>Diego Andres Poveda Bernal</cp:lastModifiedBy>
  <cp:revision/>
  <dcterms:created xsi:type="dcterms:W3CDTF">2021-10-07T19:26:42Z</dcterms:created>
  <dcterms:modified xsi:type="dcterms:W3CDTF">2026-08-21T15:42:27Z</dcterms:modified>
  <cp:category/>
  <cp:contentStatus/>
</cp:coreProperties>
</file>